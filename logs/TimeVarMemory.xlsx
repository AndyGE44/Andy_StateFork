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ocuments/Projects/StateFork/logs/"/>
    </mc:Choice>
  </mc:AlternateContent>
  <xr:revisionPtr revIDLastSave="0" documentId="13_ncr:1_{99B6A900-EA6D-464A-938B-7B6850C191F6}" xr6:coauthVersionLast="47" xr6:coauthVersionMax="47" xr10:uidLastSave="{00000000-0000-0000-0000-000000000000}"/>
  <bookViews>
    <workbookView xWindow="7700" yWindow="500" windowWidth="44580" windowHeight="26880" xr2:uid="{58F692CA-A60A-8148-8992-C00D771DA53A}"/>
  </bookViews>
  <sheets>
    <sheet name="PrintStats" sheetId="3" r:id="rId1"/>
    <sheet name="c6620" sheetId="2" r:id="rId2"/>
    <sheet name="brsys" sheetId="1" r:id="rId3"/>
  </sheets>
  <definedNames>
    <definedName name="_xlchart.v1.0" hidden="1">PrintStats!$A$2</definedName>
    <definedName name="_xlchart.v1.1" hidden="1">PrintStats!$B$3</definedName>
    <definedName name="_xlchart.v1.10" hidden="1">PrintStats!$F$5:$H$5</definedName>
    <definedName name="_xlchart.v1.11" hidden="1">PrintStats!$F$6:$H$6</definedName>
    <definedName name="_xlchart.v1.12" hidden="1">PrintStats!$F$7:$H$7</definedName>
    <definedName name="_xlchart.v1.13" hidden="1">PrintStats!$A$2</definedName>
    <definedName name="_xlchart.v1.14" hidden="1">PrintStats!$B$3</definedName>
    <definedName name="_xlchart.v1.15" hidden="1">PrintStats!$D$4</definedName>
    <definedName name="_xlchart.v1.16" hidden="1">PrintStats!$E$5</definedName>
    <definedName name="_xlchart.v1.17" hidden="1">PrintStats!$E$6</definedName>
    <definedName name="_xlchart.v1.18" hidden="1">PrintStats!$E$7</definedName>
    <definedName name="_xlchart.v1.19" hidden="1">PrintStats!$F$1:$H$1</definedName>
    <definedName name="_xlchart.v1.2" hidden="1">PrintStats!$D$4</definedName>
    <definedName name="_xlchart.v1.20" hidden="1">PrintStats!$F$2:$H$2</definedName>
    <definedName name="_xlchart.v1.21" hidden="1">PrintStats!$F$3:$H$3</definedName>
    <definedName name="_xlchart.v1.22" hidden="1">PrintStats!$F$4:$H$4</definedName>
    <definedName name="_xlchart.v1.23" hidden="1">PrintStats!$F$5:$H$5</definedName>
    <definedName name="_xlchart.v1.24" hidden="1">PrintStats!$F$6:$H$6</definedName>
    <definedName name="_xlchart.v1.25" hidden="1">PrintStats!$F$7:$H$7</definedName>
    <definedName name="_xlchart.v1.3" hidden="1">PrintStats!$E$5</definedName>
    <definedName name="_xlchart.v1.4" hidden="1">PrintStats!$E$6</definedName>
    <definedName name="_xlchart.v1.5" hidden="1">PrintStats!$E$7</definedName>
    <definedName name="_xlchart.v1.6" hidden="1">PrintStats!$F$1:$H$1</definedName>
    <definedName name="_xlchart.v1.7" hidden="1">PrintStats!$F$2:$H$2</definedName>
    <definedName name="_xlchart.v1.8" hidden="1">PrintStats!$F$3:$H$3</definedName>
    <definedName name="_xlchart.v1.9" hidden="1">PrintStats!$F$4:$H$4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S2" i="3"/>
  <c r="T2" i="3"/>
  <c r="R3" i="3"/>
  <c r="S3" i="3"/>
  <c r="T3" i="3"/>
  <c r="R4" i="3"/>
  <c r="S4" i="3"/>
  <c r="T4" i="3"/>
  <c r="R5" i="3"/>
  <c r="R6" i="3" s="1"/>
  <c r="S5" i="3"/>
  <c r="S6" i="3" s="1"/>
  <c r="T5" i="3"/>
  <c r="T6" i="3" s="1"/>
  <c r="Q5" i="3"/>
  <c r="Q6" i="3" s="1"/>
  <c r="Q4" i="3"/>
  <c r="Q3" i="3"/>
  <c r="Q2" i="3"/>
  <c r="I2" i="3"/>
  <c r="I3" i="3"/>
  <c r="I4" i="3"/>
  <c r="I5" i="3"/>
  <c r="I6" i="3"/>
  <c r="I7" i="3"/>
  <c r="I8" i="3" s="1"/>
  <c r="F3" i="3"/>
  <c r="G2" i="3"/>
  <c r="H2" i="3"/>
  <c r="G3" i="3"/>
  <c r="H3" i="3"/>
  <c r="G4" i="3"/>
  <c r="H4" i="3"/>
  <c r="G5" i="3"/>
  <c r="H5" i="3"/>
  <c r="G6" i="3"/>
  <c r="H6" i="3"/>
  <c r="G7" i="3"/>
  <c r="G8" i="3" s="1"/>
  <c r="H7" i="3"/>
  <c r="H8" i="3" s="1"/>
  <c r="F5" i="3"/>
  <c r="F6" i="3"/>
  <c r="F7" i="3"/>
  <c r="F8" i="3" s="1"/>
  <c r="F4" i="3"/>
  <c r="F2" i="3"/>
  <c r="H3" i="2"/>
  <c r="B3" i="2" s="1"/>
  <c r="H4" i="2"/>
  <c r="B4" i="2" s="1"/>
  <c r="H5" i="2"/>
  <c r="B5" i="2" s="1"/>
  <c r="H6" i="2"/>
  <c r="B6" i="2" s="1"/>
  <c r="H7" i="2"/>
  <c r="B7" i="2" s="1"/>
  <c r="H8" i="2"/>
  <c r="B8" i="2" s="1"/>
  <c r="H2" i="2"/>
  <c r="B2" i="2" s="1"/>
  <c r="B3" i="1"/>
  <c r="C3" i="1"/>
  <c r="B4" i="1"/>
  <c r="C4" i="1"/>
  <c r="B5" i="1"/>
  <c r="C5" i="1"/>
  <c r="B6" i="1"/>
  <c r="C6" i="1"/>
  <c r="B7" i="1"/>
  <c r="C7" i="1"/>
  <c r="B8" i="1"/>
  <c r="C8" i="1"/>
  <c r="C2" i="1"/>
  <c r="B2" i="1"/>
</calcChain>
</file>

<file path=xl/sharedStrings.xml><?xml version="1.0" encoding="utf-8"?>
<sst xmlns="http://schemas.openxmlformats.org/spreadsheetml/2006/main" count="75" uniqueCount="57">
  <si>
    <t>Snapshot (ms)</t>
  </si>
  <si>
    <t>Container (ms)</t>
  </si>
  <si>
    <t>Restore (ms)</t>
  </si>
  <si>
    <t>Time-B (ms)</t>
  </si>
  <si>
    <t>Storage (MB)</t>
  </si>
  <si>
    <t>Average VmSize (KB)</t>
  </si>
  <si>
    <t>Average VmRSS (KB)</t>
  </si>
  <si>
    <t>Numpy Array (MB)</t>
  </si>
  <si>
    <t>VmRSS (MB)</t>
  </si>
  <si>
    <t>VmSize (MB)</t>
  </si>
  <si>
    <t>X Label Helper</t>
  </si>
  <si>
    <t>X Label</t>
  </si>
  <si>
    <t>VmRSS 43 MB; VmSize 106 MB; Numpy Array 0 MB</t>
  </si>
  <si>
    <t>VmRSS 115 MB; VmSize 293 MB; Numpy Array 64 MB</t>
  </si>
  <si>
    <t>VmRSS 182 MB; VmSize 343 MB; Numpy Array 128 MB</t>
  </si>
  <si>
    <t>VmRSS 304 MB; VmSize 485 MB; Numpy Array 256 MB</t>
  </si>
  <si>
    <t>VmRSS 560 MB; VmSize 741 MB; Numpy Array 512 MB</t>
  </si>
  <si>
    <t>VmRSS 1.05 GB; VmSize 1.22 GB; Numpy Array 1 GB</t>
  </si>
  <si>
    <t>VmRSS 2.05 GB; VmSize 2.19 GB; Numpy Array 2 GB</t>
  </si>
  <si>
    <t>Raw VmRSS</t>
  </si>
  <si>
    <t>Podman Overhead</t>
  </si>
  <si>
    <t>Runtime Overhead</t>
  </si>
  <si>
    <t>Freezing Time</t>
  </si>
  <si>
    <t>Frozen (Other)</t>
  </si>
  <si>
    <t>Memory Dump</t>
  </si>
  <si>
    <t>Memory Write</t>
  </si>
  <si>
    <t>Raw Output Here</t>
  </si>
  <si>
    <t>podman_checkpoint_duration</t>
  </si>
  <si>
    <t>runtime_checkpoint_duration</t>
  </si>
  <si>
    <t>freezing_time</t>
  </si>
  <si>
    <t>frozen_time</t>
  </si>
  <si>
    <t>memdump_time</t>
  </si>
  <si>
    <t>memwrite_time</t>
  </si>
  <si>
    <t>1 GB - Time (ms)</t>
  </si>
  <si>
    <t>0 GB - Time (ms)</t>
  </si>
  <si>
    <t>2 GB - Time (ms)</t>
  </si>
  <si>
    <t>pages_scanned</t>
  </si>
  <si>
    <t>pages_written</t>
  </si>
  <si>
    <t>CRIU</t>
  </si>
  <si>
    <t>runc</t>
  </si>
  <si>
    <t>Podman</t>
  </si>
  <si>
    <t>3 GB - Time (ms)</t>
  </si>
  <si>
    <t>Snapshot</t>
  </si>
  <si>
    <t>Per-page Write Speed</t>
  </si>
  <si>
    <t>Time it took criu to freeze the process tree</t>
  </si>
  <si>
    <t xml:space="preserve">Time spend transferring memory pages into image files </t>
  </si>
  <si>
    <t>podman_restore_duration</t>
  </si>
  <si>
    <t>runtime_restore_duration</t>
  </si>
  <si>
    <t>forking_time</t>
  </si>
  <si>
    <t>restore_time</t>
  </si>
  <si>
    <t>pages_restored</t>
  </si>
  <si>
    <t>Fork Time</t>
  </si>
  <si>
    <t>Restore Time</t>
  </si>
  <si>
    <t>Per-page Load Speed</t>
  </si>
  <si>
    <t>Time took to fork the tree of processes</t>
  </si>
  <si>
    <t>Total time of restore</t>
  </si>
  <si>
    <t>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</si>
</sst>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3" fontId="0" fillId="4" borderId="0" xfId="0" applyNumberFormat="1" applyFill="1"/>
    <xf numFmtId="0" fontId="0" fillId="4" borderId="0" xfId="0" applyFill="1"/>
    <xf numFmtId="0" fontId="2" fillId="0" borderId="0" xfId="0" applyFont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6" borderId="1" xfId="0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vertical="center"/>
    </xf>
    <xf numFmtId="164" fontId="2" fillId="8" borderId="1" xfId="0" applyNumberFormat="1" applyFont="1" applyFill="1" applyBorder="1" applyAlignment="1">
      <alignment vertical="center"/>
    </xf>
    <xf numFmtId="164" fontId="2" fillId="9" borderId="1" xfId="0" applyNumberFormat="1" applyFont="1" applyFill="1" applyBorder="1" applyAlignment="1">
      <alignment vertical="center"/>
    </xf>
    <xf numFmtId="164" fontId="2" fillId="10" borderId="1" xfId="0" applyNumberFormat="1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164" fontId="2" fillId="11" borderId="1" xfId="0" applyNumberFormat="1" applyFont="1" applyFill="1" applyBorder="1" applyAlignment="1">
      <alignment vertical="center"/>
    </xf>
    <xf numFmtId="164" fontId="2" fillId="10" borderId="3" xfId="0" applyNumberFormat="1" applyFont="1" applyFill="1" applyBorder="1" applyAlignment="1">
      <alignment vertical="center"/>
    </xf>
    <xf numFmtId="0" fontId="2" fillId="10" borderId="4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2" fillId="9" borderId="9" xfId="0" applyFont="1" applyFill="1" applyBorder="1" applyAlignment="1">
      <alignment horizontal="center" vertical="center" textRotation="90"/>
    </xf>
    <xf numFmtId="164" fontId="2" fillId="10" borderId="15" xfId="0" applyNumberFormat="1" applyFont="1" applyFill="1" applyBorder="1" applyAlignment="1">
      <alignment vertical="center"/>
    </xf>
    <xf numFmtId="0" fontId="2" fillId="10" borderId="16" xfId="0" applyFont="1" applyFill="1" applyBorder="1" applyAlignment="1">
      <alignment horizontal="center" vertical="center" textRotation="90"/>
    </xf>
    <xf numFmtId="164" fontId="2" fillId="9" borderId="15" xfId="0" applyNumberFormat="1" applyFont="1" applyFill="1" applyBorder="1" applyAlignment="1">
      <alignment vertical="center"/>
    </xf>
    <xf numFmtId="164" fontId="2" fillId="8" borderId="15" xfId="0" applyNumberFormat="1" applyFont="1" applyFill="1" applyBorder="1" applyAlignment="1">
      <alignment vertical="center"/>
    </xf>
    <xf numFmtId="164" fontId="2" fillId="5" borderId="15" xfId="0" applyNumberFormat="1" applyFont="1" applyFill="1" applyBorder="1" applyAlignment="1">
      <alignment vertical="center"/>
    </xf>
    <xf numFmtId="164" fontId="2" fillId="11" borderId="15" xfId="0" applyNumberFormat="1" applyFont="1" applyFill="1" applyBorder="1" applyAlignment="1">
      <alignment vertical="center"/>
    </xf>
    <xf numFmtId="164" fontId="2" fillId="6" borderId="15" xfId="0" applyNumberFormat="1" applyFont="1" applyFill="1" applyBorder="1" applyAlignment="1">
      <alignment vertical="center"/>
    </xf>
    <xf numFmtId="0" fontId="2" fillId="10" borderId="17" xfId="0" applyFont="1" applyFill="1" applyBorder="1" applyAlignment="1">
      <alignment horizontal="center" vertical="center" textRotation="90"/>
    </xf>
    <xf numFmtId="165" fontId="2" fillId="7" borderId="18" xfId="0" applyNumberFormat="1" applyFont="1" applyFill="1" applyBorder="1" applyAlignment="1">
      <alignment vertical="center"/>
    </xf>
    <xf numFmtId="165" fontId="2" fillId="7" borderId="19" xfId="0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2" fillId="9" borderId="5" xfId="0" applyFont="1" applyFill="1" applyBorder="1" applyAlignment="1">
      <alignment horizontal="center" vertical="center" textRotation="90"/>
    </xf>
    <xf numFmtId="0" fontId="2" fillId="9" borderId="20" xfId="0" applyFont="1" applyFill="1" applyBorder="1" applyAlignment="1">
      <alignment horizontal="center" vertical="center" textRotation="90"/>
    </xf>
    <xf numFmtId="0" fontId="2" fillId="7" borderId="22" xfId="0" applyFont="1" applyFill="1" applyBorder="1" applyAlignment="1">
      <alignment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 textRotation="90"/>
    </xf>
    <xf numFmtId="0" fontId="2" fillId="12" borderId="9" xfId="0" applyFont="1" applyFill="1" applyBorder="1" applyAlignment="1">
      <alignment horizontal="center" vertical="center" textRotation="90"/>
    </xf>
    <xf numFmtId="0" fontId="2" fillId="5" borderId="7" xfId="0" applyFont="1" applyFill="1" applyBorder="1" applyAlignment="1">
      <alignment vertical="center" textRotation="90"/>
    </xf>
    <xf numFmtId="0" fontId="2" fillId="5" borderId="2" xfId="0" applyFont="1" applyFill="1" applyBorder="1" applyAlignment="1">
      <alignment vertical="center" textRotation="90"/>
    </xf>
    <xf numFmtId="0" fontId="2" fillId="5" borderId="23" xfId="0" applyFont="1" applyFill="1" applyBorder="1" applyAlignment="1">
      <alignment vertical="center" textRotation="90"/>
    </xf>
    <xf numFmtId="0" fontId="2" fillId="12" borderId="21" xfId="0" applyFont="1" applyFill="1" applyBorder="1" applyAlignment="1">
      <alignment horizontal="center" vertical="center" textRotation="90"/>
    </xf>
    <xf numFmtId="0" fontId="2" fillId="7" borderId="24" xfId="0" applyFont="1" applyFill="1" applyBorder="1" applyAlignment="1">
      <alignment vertical="center" textRotation="90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10" borderId="14" xfId="0" applyFont="1" applyFill="1" applyBorder="1" applyAlignment="1">
      <alignment vertical="center"/>
    </xf>
    <xf numFmtId="0" fontId="1" fillId="7" borderId="11" xfId="0" applyFont="1" applyFill="1" applyBorder="1" applyAlignment="1">
      <alignment vertical="center"/>
    </xf>
    <xf numFmtId="0" fontId="1" fillId="7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 textRotation="90"/>
    </xf>
    <xf numFmtId="0" fontId="2" fillId="9" borderId="21" xfId="0" applyFont="1" applyFill="1" applyBorder="1" applyAlignment="1">
      <alignment horizontal="center" vertical="center" textRotation="90"/>
    </xf>
    <xf numFmtId="0" fontId="2" fillId="10" borderId="14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PrintStats!$A$2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PrintStats!$F$1</c:f>
              <c:strCache>
                <c:ptCount val="1"/>
                <c:pt idx="0">
                  <c:v>0 GB - Time (ms)</c:v>
                </c:pt>
              </c:strCache>
            </c:strRef>
          </c:cat>
          <c:val>
            <c:numRef>
              <c:f>PrintStats!$F$2</c:f>
              <c:numCache>
                <c:formatCode>#,##0.000</c:formatCode>
                <c:ptCount val="1"/>
                <c:pt idx="0">
                  <c:v>188.505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7-E748-B48B-5BFBEAB7227F}"/>
            </c:ext>
          </c:extLst>
        </c:ser>
        <c:ser>
          <c:idx val="1"/>
          <c:order val="1"/>
          <c:tx>
            <c:strRef>
              <c:f>PrintStats!$B$3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PrintStats!$F$1</c:f>
              <c:strCache>
                <c:ptCount val="1"/>
                <c:pt idx="0">
                  <c:v>0 GB - Time (ms)</c:v>
                </c:pt>
              </c:strCache>
            </c:strRef>
          </c:cat>
          <c:val>
            <c:numRef>
              <c:f>PrintStats!$F$3</c:f>
              <c:numCache>
                <c:formatCode>#,##0.000</c:formatCode>
                <c:ptCount val="1"/>
                <c:pt idx="0">
                  <c:v>18.111000000000001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7-E748-B48B-5BFBEAB7227F}"/>
            </c:ext>
          </c:extLst>
        </c:ser>
        <c:ser>
          <c:idx val="2"/>
          <c:order val="2"/>
          <c:tx>
            <c:strRef>
              <c:f>PrintStats!$D$4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PrintStats!$F$1</c:f>
              <c:strCache>
                <c:ptCount val="1"/>
                <c:pt idx="0">
                  <c:v>0 GB - Time (ms)</c:v>
                </c:pt>
              </c:strCache>
            </c:strRef>
          </c:cat>
          <c:val>
            <c:numRef>
              <c:f>PrintStats!$F$4</c:f>
              <c:numCache>
                <c:formatCode>#,##0.000</c:formatCode>
                <c:ptCount val="1"/>
                <c:pt idx="0">
                  <c:v>100.922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67-E748-B48B-5BFBEAB7227F}"/>
            </c:ext>
          </c:extLst>
        </c:ser>
        <c:ser>
          <c:idx val="3"/>
          <c:order val="3"/>
          <c:tx>
            <c:strRef>
              <c:f>PrintStats!$E$5</c:f>
              <c:strCache>
                <c:ptCount val="1"/>
                <c:pt idx="0">
                  <c:v>Frozen (Other)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PrintStats!$F$1</c:f>
              <c:strCache>
                <c:ptCount val="1"/>
                <c:pt idx="0">
                  <c:v>0 GB - Time (ms)</c:v>
                </c:pt>
              </c:strCache>
            </c:strRef>
          </c:cat>
          <c:val>
            <c:numRef>
              <c:f>PrintStats!$F$5</c:f>
              <c:numCache>
                <c:formatCode>#,##0.000</c:formatCode>
                <c:ptCount val="1"/>
                <c:pt idx="0">
                  <c:v>151.18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67-E748-B48B-5BFBEAB7227F}"/>
            </c:ext>
          </c:extLst>
        </c:ser>
        <c:ser>
          <c:idx val="4"/>
          <c:order val="4"/>
          <c:tx>
            <c:strRef>
              <c:f>PrintStats!$E$6</c:f>
              <c:strCache>
                <c:ptCount val="1"/>
                <c:pt idx="0">
                  <c:v>Memory Dump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PrintStats!$F$1</c:f>
              <c:strCache>
                <c:ptCount val="1"/>
                <c:pt idx="0">
                  <c:v>0 GB - Time (ms)</c:v>
                </c:pt>
              </c:strCache>
            </c:strRef>
          </c:cat>
          <c:val>
            <c:numRef>
              <c:f>PrintStats!$F$6</c:f>
              <c:numCache>
                <c:formatCode>#,##0.000</c:formatCode>
                <c:ptCount val="1"/>
                <c:pt idx="0">
                  <c:v>5.5709999999999997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67-E748-B48B-5BFBEAB7227F}"/>
            </c:ext>
          </c:extLst>
        </c:ser>
        <c:ser>
          <c:idx val="5"/>
          <c:order val="5"/>
          <c:tx>
            <c:strRef>
              <c:f>PrintStats!$E$7</c:f>
              <c:strCache>
                <c:ptCount val="1"/>
                <c:pt idx="0">
                  <c:v>Memory Write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PrintStats!$F$1</c:f>
              <c:strCache>
                <c:ptCount val="1"/>
                <c:pt idx="0">
                  <c:v>0 GB - Time (ms)</c:v>
                </c:pt>
              </c:strCache>
            </c:strRef>
          </c:cat>
          <c:val>
            <c:numRef>
              <c:f>PrintStats!$F$7</c:f>
              <c:numCache>
                <c:formatCode>#,##0.000</c:formatCode>
                <c:ptCount val="1"/>
                <c:pt idx="0">
                  <c:v>19.068999999999999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67-E748-B48B-5BFBEAB72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6624208"/>
        <c:axId val="736625920"/>
      </c:barChart>
      <c:catAx>
        <c:axId val="7366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5920"/>
        <c:crosses val="autoZero"/>
        <c:auto val="1"/>
        <c:lblAlgn val="ctr"/>
        <c:lblOffset val="100"/>
        <c:noMultiLvlLbl val="0"/>
      </c:catAx>
      <c:valAx>
        <c:axId val="736625920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PrintStats!$A$2</c:f>
              <c:strCache>
                <c:ptCount val="1"/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PrintStats!$G$1</c:f>
              <c:strCache>
                <c:ptCount val="1"/>
                <c:pt idx="0">
                  <c:v>1 GB - Time (ms)</c:v>
                </c:pt>
              </c:strCache>
            </c:strRef>
          </c:cat>
          <c:val>
            <c:numRef>
              <c:f>PrintStats!$G$2</c:f>
              <c:numCache>
                <c:formatCode>#,##0.000</c:formatCode>
                <c:ptCount val="1"/>
                <c:pt idx="0">
                  <c:v>1539.193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3-4C4A-A1FF-F2E765FFEC52}"/>
            </c:ext>
          </c:extLst>
        </c:ser>
        <c:ser>
          <c:idx val="1"/>
          <c:order val="1"/>
          <c:tx>
            <c:strRef>
              <c:f>PrintStats!$B$3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PrintStats!$G$1</c:f>
              <c:strCache>
                <c:ptCount val="1"/>
                <c:pt idx="0">
                  <c:v>1 GB - Time (ms)</c:v>
                </c:pt>
              </c:strCache>
            </c:strRef>
          </c:cat>
          <c:val>
            <c:numRef>
              <c:f>PrintStats!$G$3</c:f>
              <c:numCache>
                <c:formatCode>#,##0.000</c:formatCode>
                <c:ptCount val="1"/>
                <c:pt idx="0">
                  <c:v>17.454999999999998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3-4C4A-A1FF-F2E765FFEC52}"/>
            </c:ext>
          </c:extLst>
        </c:ser>
        <c:ser>
          <c:idx val="2"/>
          <c:order val="2"/>
          <c:tx>
            <c:strRef>
              <c:f>PrintStats!$D$4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PrintStats!$G$1</c:f>
              <c:strCache>
                <c:ptCount val="1"/>
                <c:pt idx="0">
                  <c:v>1 GB - Time (ms)</c:v>
                </c:pt>
              </c:strCache>
            </c:strRef>
          </c:cat>
          <c:val>
            <c:numRef>
              <c:f>PrintStats!$G$4</c:f>
              <c:numCache>
                <c:formatCode>#,##0.000</c:formatCode>
                <c:ptCount val="1"/>
                <c:pt idx="0">
                  <c:v>103.88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43-4C4A-A1FF-F2E765FFEC52}"/>
            </c:ext>
          </c:extLst>
        </c:ser>
        <c:ser>
          <c:idx val="3"/>
          <c:order val="3"/>
          <c:tx>
            <c:strRef>
              <c:f>PrintStats!$E$5</c:f>
              <c:strCache>
                <c:ptCount val="1"/>
                <c:pt idx="0">
                  <c:v>Frozen (Other)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PrintStats!$G$1</c:f>
              <c:strCache>
                <c:ptCount val="1"/>
                <c:pt idx="0">
                  <c:v>1 GB - Time (ms)</c:v>
                </c:pt>
              </c:strCache>
            </c:strRef>
          </c:cat>
          <c:val>
            <c:numRef>
              <c:f>PrintStats!$G$5</c:f>
              <c:numCache>
                <c:formatCode>#,##0.000</c:formatCode>
                <c:ptCount val="1"/>
                <c:pt idx="0">
                  <c:v>161.465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43-4C4A-A1FF-F2E765FFEC52}"/>
            </c:ext>
          </c:extLst>
        </c:ser>
        <c:ser>
          <c:idx val="4"/>
          <c:order val="4"/>
          <c:tx>
            <c:strRef>
              <c:f>PrintStats!$E$6</c:f>
              <c:strCache>
                <c:ptCount val="1"/>
                <c:pt idx="0">
                  <c:v>Memory Dump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PrintStats!$G$1</c:f>
              <c:strCache>
                <c:ptCount val="1"/>
                <c:pt idx="0">
                  <c:v>1 GB - Time (ms)</c:v>
                </c:pt>
              </c:strCache>
            </c:strRef>
          </c:cat>
          <c:val>
            <c:numRef>
              <c:f>PrintStats!$G$6</c:f>
              <c:numCache>
                <c:formatCode>#,##0.000</c:formatCode>
                <c:ptCount val="1"/>
                <c:pt idx="0">
                  <c:v>62.759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43-4C4A-A1FF-F2E765FFEC52}"/>
            </c:ext>
          </c:extLst>
        </c:ser>
        <c:ser>
          <c:idx val="5"/>
          <c:order val="5"/>
          <c:tx>
            <c:strRef>
              <c:f>PrintStats!$E$7</c:f>
              <c:strCache>
                <c:ptCount val="1"/>
                <c:pt idx="0">
                  <c:v>Memory Write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PrintStats!$G$1</c:f>
              <c:strCache>
                <c:ptCount val="1"/>
                <c:pt idx="0">
                  <c:v>1 GB - Time (ms)</c:v>
                </c:pt>
              </c:strCache>
            </c:strRef>
          </c:cat>
          <c:val>
            <c:numRef>
              <c:f>PrintStats!$G$7</c:f>
              <c:numCache>
                <c:formatCode>#,##0.000</c:formatCode>
                <c:ptCount val="1"/>
                <c:pt idx="0">
                  <c:v>626.89499999999998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43-4C4A-A1FF-F2E765FFE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6624208"/>
        <c:axId val="736625920"/>
      </c:barChart>
      <c:catAx>
        <c:axId val="7366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5920"/>
        <c:crosses val="autoZero"/>
        <c:auto val="1"/>
        <c:lblAlgn val="ctr"/>
        <c:lblOffset val="100"/>
        <c:noMultiLvlLbl val="0"/>
      </c:catAx>
      <c:valAx>
        <c:axId val="736625920"/>
        <c:scaling>
          <c:orientation val="minMax"/>
          <c:max val="2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PrintStats!$E$2</c:f>
              <c:strCache>
                <c:ptCount val="1"/>
                <c:pt idx="0">
                  <c:v>Podman Overhead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PrintStats!$H$1</c:f>
              <c:strCache>
                <c:ptCount val="1"/>
                <c:pt idx="0">
                  <c:v>2 GB - Time (ms)</c:v>
                </c:pt>
              </c:strCache>
            </c:strRef>
          </c:cat>
          <c:val>
            <c:numRef>
              <c:f>PrintStats!$H$2</c:f>
              <c:numCache>
                <c:formatCode>#,##0.000</c:formatCode>
                <c:ptCount val="1"/>
                <c:pt idx="0">
                  <c:v>4316.2619999999997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E-A14B-9DD8-ADE553901365}"/>
            </c:ext>
          </c:extLst>
        </c:ser>
        <c:ser>
          <c:idx val="1"/>
          <c:order val="1"/>
          <c:tx>
            <c:strRef>
              <c:f>PrintStats!$E$3</c:f>
              <c:strCache>
                <c:ptCount val="1"/>
                <c:pt idx="0">
                  <c:v>Runtime Overhead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5"/>
                  <c:y val="1.15740740740740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22E-A14B-9DD8-ADE5539013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PrintStats!$H$1</c:f>
              <c:strCache>
                <c:ptCount val="1"/>
                <c:pt idx="0">
                  <c:v>2 GB - Time (ms)</c:v>
                </c:pt>
              </c:strCache>
            </c:strRef>
          </c:cat>
          <c:val>
            <c:numRef>
              <c:f>PrintStats!$H$3</c:f>
              <c:numCache>
                <c:formatCode>#,##0.000</c:formatCode>
                <c:ptCount val="1"/>
                <c:pt idx="0">
                  <c:v>17.045000000000002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2E-A14B-9DD8-ADE553901365}"/>
            </c:ext>
          </c:extLst>
        </c:ser>
        <c:ser>
          <c:idx val="2"/>
          <c:order val="2"/>
          <c:tx>
            <c:strRef>
              <c:f>PrintStats!$E$4</c:f>
              <c:strCache>
                <c:ptCount val="1"/>
                <c:pt idx="0">
                  <c:v>Freezing Time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PrintStats!$H$1</c:f>
              <c:strCache>
                <c:ptCount val="1"/>
                <c:pt idx="0">
                  <c:v>2 GB - Time (ms)</c:v>
                </c:pt>
              </c:strCache>
            </c:strRef>
          </c:cat>
          <c:val>
            <c:numRef>
              <c:f>PrintStats!$H$4</c:f>
              <c:numCache>
                <c:formatCode>#,##0.000</c:formatCode>
                <c:ptCount val="1"/>
                <c:pt idx="0">
                  <c:v>103.629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2E-A14B-9DD8-ADE553901365}"/>
            </c:ext>
          </c:extLst>
        </c:ser>
        <c:ser>
          <c:idx val="3"/>
          <c:order val="3"/>
          <c:tx>
            <c:strRef>
              <c:f>PrintStats!$E$5</c:f>
              <c:strCache>
                <c:ptCount val="1"/>
                <c:pt idx="0">
                  <c:v>Frozen (Other)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PrintStats!$H$1</c:f>
              <c:strCache>
                <c:ptCount val="1"/>
                <c:pt idx="0">
                  <c:v>2 GB - Time (ms)</c:v>
                </c:pt>
              </c:strCache>
            </c:strRef>
          </c:cat>
          <c:val>
            <c:numRef>
              <c:f>PrintStats!$H$5</c:f>
              <c:numCache>
                <c:formatCode>#,##0.000</c:formatCode>
                <c:ptCount val="1"/>
                <c:pt idx="0">
                  <c:v>172.553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22E-A14B-9DD8-ADE553901365}"/>
            </c:ext>
          </c:extLst>
        </c:ser>
        <c:ser>
          <c:idx val="4"/>
          <c:order val="4"/>
          <c:tx>
            <c:strRef>
              <c:f>PrintStats!$E$6</c:f>
              <c:strCache>
                <c:ptCount val="1"/>
                <c:pt idx="0">
                  <c:v>Memory Dump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PrintStats!$H$1</c:f>
              <c:strCache>
                <c:ptCount val="1"/>
                <c:pt idx="0">
                  <c:v>2 GB - Time (ms)</c:v>
                </c:pt>
              </c:strCache>
            </c:strRef>
          </c:cat>
          <c:val>
            <c:numRef>
              <c:f>PrintStats!$H$6</c:f>
              <c:numCache>
                <c:formatCode>#,##0.000</c:formatCode>
                <c:ptCount val="1"/>
                <c:pt idx="0">
                  <c:v>131.67699999999999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2E-A14B-9DD8-ADE553901365}"/>
            </c:ext>
          </c:extLst>
        </c:ser>
        <c:ser>
          <c:idx val="5"/>
          <c:order val="5"/>
          <c:tx>
            <c:strRef>
              <c:f>PrintStats!$E$7</c:f>
              <c:strCache>
                <c:ptCount val="1"/>
                <c:pt idx="0">
                  <c:v>Memory Write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PrintStats!$H$1</c:f>
              <c:strCache>
                <c:ptCount val="1"/>
                <c:pt idx="0">
                  <c:v>2 GB - Time (ms)</c:v>
                </c:pt>
              </c:strCache>
            </c:strRef>
          </c:cat>
          <c:val>
            <c:numRef>
              <c:f>PrintStats!$H$7</c:f>
              <c:numCache>
                <c:formatCode>#,##0.000</c:formatCode>
                <c:ptCount val="1"/>
                <c:pt idx="0">
                  <c:v>1238.579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22E-A14B-9DD8-ADE553901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6624208"/>
        <c:axId val="736625920"/>
      </c:barChart>
      <c:catAx>
        <c:axId val="7366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5920"/>
        <c:crosses val="autoZero"/>
        <c:auto val="1"/>
        <c:lblAlgn val="ctr"/>
        <c:lblOffset val="100"/>
        <c:noMultiLvlLbl val="0"/>
      </c:catAx>
      <c:valAx>
        <c:axId val="736625920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420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PrintStats!$E$2</c:f>
              <c:strCache>
                <c:ptCount val="1"/>
                <c:pt idx="0">
                  <c:v>Podman Overhead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PrintStats!$I$1</c:f>
              <c:strCache>
                <c:ptCount val="1"/>
                <c:pt idx="0">
                  <c:v>3 GB - Time (ms)</c:v>
                </c:pt>
              </c:strCache>
            </c:strRef>
          </c:cat>
          <c:val>
            <c:numRef>
              <c:f>PrintStats!$I$2</c:f>
              <c:numCache>
                <c:formatCode>#,##0.000</c:formatCode>
                <c:ptCount val="1"/>
                <c:pt idx="0">
                  <c:v>4995.7139999999999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B-D744-8704-E79E2A7C91ED}"/>
            </c:ext>
          </c:extLst>
        </c:ser>
        <c:ser>
          <c:idx val="1"/>
          <c:order val="1"/>
          <c:tx>
            <c:strRef>
              <c:f>PrintStats!$E$3</c:f>
              <c:strCache>
                <c:ptCount val="1"/>
                <c:pt idx="0">
                  <c:v>Runtime Overhead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5"/>
                  <c:y val="1.15740740740740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1B-D744-8704-E79E2A7C91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PrintStats!$I$1</c:f>
              <c:strCache>
                <c:ptCount val="1"/>
                <c:pt idx="0">
                  <c:v>3 GB - Time (ms)</c:v>
                </c:pt>
              </c:strCache>
            </c:strRef>
          </c:cat>
          <c:val>
            <c:numRef>
              <c:f>PrintStats!$I$3</c:f>
              <c:numCache>
                <c:formatCode>#,##0.000</c:formatCode>
                <c:ptCount val="1"/>
                <c:pt idx="0">
                  <c:v>16.754999999999999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1B-D744-8704-E79E2A7C91ED}"/>
            </c:ext>
          </c:extLst>
        </c:ser>
        <c:ser>
          <c:idx val="2"/>
          <c:order val="2"/>
          <c:tx>
            <c:strRef>
              <c:f>PrintStats!$E$4</c:f>
              <c:strCache>
                <c:ptCount val="1"/>
                <c:pt idx="0">
                  <c:v>Freezing Time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PrintStats!$I$1</c:f>
              <c:strCache>
                <c:ptCount val="1"/>
                <c:pt idx="0">
                  <c:v>3 GB - Time (ms)</c:v>
                </c:pt>
              </c:strCache>
            </c:strRef>
          </c:cat>
          <c:val>
            <c:numRef>
              <c:f>PrintStats!$I$4</c:f>
              <c:numCache>
                <c:formatCode>#,##0.000</c:formatCode>
                <c:ptCount val="1"/>
                <c:pt idx="0">
                  <c:v>103.709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1B-D744-8704-E79E2A7C91ED}"/>
            </c:ext>
          </c:extLst>
        </c:ser>
        <c:ser>
          <c:idx val="3"/>
          <c:order val="3"/>
          <c:tx>
            <c:strRef>
              <c:f>PrintStats!$E$5</c:f>
              <c:strCache>
                <c:ptCount val="1"/>
                <c:pt idx="0">
                  <c:v>Frozen (Other)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PrintStats!$I$1</c:f>
              <c:strCache>
                <c:ptCount val="1"/>
                <c:pt idx="0">
                  <c:v>3 GB - Time (ms)</c:v>
                </c:pt>
              </c:strCache>
            </c:strRef>
          </c:cat>
          <c:val>
            <c:numRef>
              <c:f>PrintStats!$I$5</c:f>
              <c:numCache>
                <c:formatCode>#,##0.000</c:formatCode>
                <c:ptCount val="1"/>
                <c:pt idx="0">
                  <c:v>174.63900000000001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1B-D744-8704-E79E2A7C91ED}"/>
            </c:ext>
          </c:extLst>
        </c:ser>
        <c:ser>
          <c:idx val="4"/>
          <c:order val="4"/>
          <c:tx>
            <c:strRef>
              <c:f>PrintStats!$E$6</c:f>
              <c:strCache>
                <c:ptCount val="1"/>
                <c:pt idx="0">
                  <c:v>Memory Dump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PrintStats!$I$1</c:f>
              <c:strCache>
                <c:ptCount val="1"/>
                <c:pt idx="0">
                  <c:v>3 GB - Time (ms)</c:v>
                </c:pt>
              </c:strCache>
            </c:strRef>
          </c:cat>
          <c:val>
            <c:numRef>
              <c:f>PrintStats!$I$6</c:f>
              <c:numCache>
                <c:formatCode>#,##0.000</c:formatCode>
                <c:ptCount val="1"/>
                <c:pt idx="0">
                  <c:v>149.59100000000001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1B-D744-8704-E79E2A7C91ED}"/>
            </c:ext>
          </c:extLst>
        </c:ser>
        <c:ser>
          <c:idx val="5"/>
          <c:order val="5"/>
          <c:tx>
            <c:strRef>
              <c:f>PrintStats!$E$7</c:f>
              <c:strCache>
                <c:ptCount val="1"/>
                <c:pt idx="0">
                  <c:v>Memory Write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PrintStats!$I$1</c:f>
              <c:strCache>
                <c:ptCount val="1"/>
                <c:pt idx="0">
                  <c:v>3 GB - Time (ms)</c:v>
                </c:pt>
              </c:strCache>
            </c:strRef>
          </c:cat>
          <c:val>
            <c:numRef>
              <c:f>PrintStats!$I$7</c:f>
              <c:numCache>
                <c:formatCode>#,##0.000</c:formatCode>
                <c:ptCount val="1"/>
                <c:pt idx="0">
                  <c:v>1819.8589999999999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1B-D744-8704-E79E2A7C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6624208"/>
        <c:axId val="736625920"/>
      </c:barChart>
      <c:catAx>
        <c:axId val="7366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5920"/>
        <c:crosses val="autoZero"/>
        <c:auto val="1"/>
        <c:lblAlgn val="ctr"/>
        <c:lblOffset val="100"/>
        <c:noMultiLvlLbl val="0"/>
      </c:catAx>
      <c:valAx>
        <c:axId val="736625920"/>
        <c:scaling>
          <c:orientation val="minMax"/>
          <c:max val="7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420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PrintStats!$P$2</c:f>
              <c:strCache>
                <c:ptCount val="1"/>
                <c:pt idx="0">
                  <c:v>Podman Overhead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D29-1C4A-AE4E-B10F1DB616B9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29-1C4A-AE4E-B10F1DB616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PrintStats!$Q$1</c:f>
              <c:strCache>
                <c:ptCount val="1"/>
                <c:pt idx="0">
                  <c:v>0 GB - Time (ms)</c:v>
                </c:pt>
              </c:strCache>
            </c:strRef>
          </c:cat>
          <c:val>
            <c:numRef>
              <c:f>PrintStats!$Q$2</c:f>
              <c:numCache>
                <c:formatCode>#,##0.000</c:formatCode>
                <c:ptCount val="1"/>
                <c:pt idx="0">
                  <c:v>258.56799999999998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9-1C4A-AE4E-B10F1DB616B9}"/>
            </c:ext>
          </c:extLst>
        </c:ser>
        <c:ser>
          <c:idx val="1"/>
          <c:order val="1"/>
          <c:tx>
            <c:strRef>
              <c:f>PrintStats!$P$3</c:f>
              <c:strCache>
                <c:ptCount val="1"/>
                <c:pt idx="0">
                  <c:v>Runtime Overhead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PrintStats!$Q$1</c:f>
              <c:strCache>
                <c:ptCount val="1"/>
                <c:pt idx="0">
                  <c:v>0 GB - Time (ms)</c:v>
                </c:pt>
              </c:strCache>
            </c:strRef>
          </c:cat>
          <c:val>
            <c:numRef>
              <c:f>PrintStats!$Q$3</c:f>
              <c:numCache>
                <c:formatCode>#,##0.000</c:formatCode>
                <c:ptCount val="1"/>
                <c:pt idx="0">
                  <c:v>71.915999999999997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29-1C4A-AE4E-B10F1DB616B9}"/>
            </c:ext>
          </c:extLst>
        </c:ser>
        <c:ser>
          <c:idx val="2"/>
          <c:order val="2"/>
          <c:tx>
            <c:strRef>
              <c:f>PrintStats!$P$4</c:f>
              <c:strCache>
                <c:ptCount val="1"/>
                <c:pt idx="0">
                  <c:v>Fork Time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PrintStats!$Q$1</c:f>
              <c:strCache>
                <c:ptCount val="1"/>
                <c:pt idx="0">
                  <c:v>0 GB - Time (ms)</c:v>
                </c:pt>
              </c:strCache>
            </c:strRef>
          </c:cat>
          <c:val>
            <c:numRef>
              <c:f>PrintStats!$Q$4</c:f>
              <c:numCache>
                <c:formatCode>#,##0.000</c:formatCode>
                <c:ptCount val="1"/>
                <c:pt idx="0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29-1C4A-AE4E-B10F1DB616B9}"/>
            </c:ext>
          </c:extLst>
        </c:ser>
        <c:ser>
          <c:idx val="3"/>
          <c:order val="3"/>
          <c:tx>
            <c:strRef>
              <c:f>PrintStats!$P$5</c:f>
              <c:strCache>
                <c:ptCount val="1"/>
                <c:pt idx="0">
                  <c:v>Restore Time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PrintStats!$Q$1</c:f>
              <c:strCache>
                <c:ptCount val="1"/>
                <c:pt idx="0">
                  <c:v>0 GB - Time (ms)</c:v>
                </c:pt>
              </c:strCache>
            </c:strRef>
          </c:cat>
          <c:val>
            <c:numRef>
              <c:f>PrintStats!$Q$5</c:f>
              <c:numCache>
                <c:formatCode>#,##0.000</c:formatCode>
                <c:ptCount val="1"/>
                <c:pt idx="0">
                  <c:v>132.22800000000001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29-1C4A-AE4E-B10F1DB616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36624208"/>
        <c:axId val="736625920"/>
      </c:barChart>
      <c:catAx>
        <c:axId val="7366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5920"/>
        <c:crosses val="autoZero"/>
        <c:auto val="1"/>
        <c:lblAlgn val="ctr"/>
        <c:lblOffset val="100"/>
        <c:noMultiLvlLbl val="0"/>
      </c:catAx>
      <c:valAx>
        <c:axId val="736625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PrintStats!$P$2</c:f>
              <c:strCache>
                <c:ptCount val="1"/>
                <c:pt idx="0">
                  <c:v>Podman Overhead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PrintStats!$R$1</c:f>
              <c:strCache>
                <c:ptCount val="1"/>
                <c:pt idx="0">
                  <c:v>1 GB - Time (ms)</c:v>
                </c:pt>
              </c:strCache>
            </c:strRef>
          </c:cat>
          <c:val>
            <c:numRef>
              <c:f>PrintStats!$R$2</c:f>
              <c:numCache>
                <c:formatCode>#,##0.000</c:formatCode>
                <c:ptCount val="1"/>
                <c:pt idx="0">
                  <c:v>4559.6779999999999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C8-FE4B-982C-F3C952C170A5}"/>
            </c:ext>
          </c:extLst>
        </c:ser>
        <c:ser>
          <c:idx val="1"/>
          <c:order val="1"/>
          <c:tx>
            <c:strRef>
              <c:f>PrintStats!$P$3</c:f>
              <c:strCache>
                <c:ptCount val="1"/>
                <c:pt idx="0">
                  <c:v>Runtime Overhead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PrintStats!$R$1</c:f>
              <c:strCache>
                <c:ptCount val="1"/>
                <c:pt idx="0">
                  <c:v>1 GB - Time (ms)</c:v>
                </c:pt>
              </c:strCache>
            </c:strRef>
          </c:cat>
          <c:val>
            <c:numRef>
              <c:f>PrintStats!$R$3</c:f>
              <c:numCache>
                <c:formatCode>#,##0.000</c:formatCode>
                <c:ptCount val="1"/>
                <c:pt idx="0">
                  <c:v>90.081999999999994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C8-FE4B-982C-F3C952C170A5}"/>
            </c:ext>
          </c:extLst>
        </c:ser>
        <c:ser>
          <c:idx val="2"/>
          <c:order val="2"/>
          <c:tx>
            <c:strRef>
              <c:f>PrintStats!$P$4</c:f>
              <c:strCache>
                <c:ptCount val="1"/>
                <c:pt idx="0">
                  <c:v>Fork Time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5462962962962965"/>
                  <c:y val="2.314814814814814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BC8-FE4B-982C-F3C952C170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PrintStats!$R$1</c:f>
              <c:strCache>
                <c:ptCount val="1"/>
                <c:pt idx="0">
                  <c:v>1 GB - Time (ms)</c:v>
                </c:pt>
              </c:strCache>
            </c:strRef>
          </c:cat>
          <c:val>
            <c:numRef>
              <c:f>PrintStats!$R$4</c:f>
              <c:numCache>
                <c:formatCode>#,##0.000</c:formatCode>
                <c:ptCount val="1"/>
                <c:pt idx="0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C8-FE4B-982C-F3C952C170A5}"/>
            </c:ext>
          </c:extLst>
        </c:ser>
        <c:ser>
          <c:idx val="3"/>
          <c:order val="3"/>
          <c:tx>
            <c:strRef>
              <c:f>PrintStats!$P$5</c:f>
              <c:strCache>
                <c:ptCount val="1"/>
                <c:pt idx="0">
                  <c:v>Restore Time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PrintStats!$R$1</c:f>
              <c:strCache>
                <c:ptCount val="1"/>
                <c:pt idx="0">
                  <c:v>1 GB - Time (ms)</c:v>
                </c:pt>
              </c:strCache>
            </c:strRef>
          </c:cat>
          <c:val>
            <c:numRef>
              <c:f>PrintStats!$R$5</c:f>
              <c:numCache>
                <c:formatCode>#,##0.000</c:formatCode>
                <c:ptCount val="1"/>
                <c:pt idx="0">
                  <c:v>483.22199999999998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C8-FE4B-982C-F3C952C170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36624208"/>
        <c:axId val="736625920"/>
      </c:barChart>
      <c:catAx>
        <c:axId val="7366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5920"/>
        <c:crosses val="autoZero"/>
        <c:auto val="1"/>
        <c:lblAlgn val="ctr"/>
        <c:lblOffset val="100"/>
        <c:noMultiLvlLbl val="0"/>
      </c:catAx>
      <c:valAx>
        <c:axId val="736625920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PrintStats!$P$2</c:f>
              <c:strCache>
                <c:ptCount val="1"/>
                <c:pt idx="0">
                  <c:v>Podman Overhead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PrintStats!$S$1</c:f>
              <c:strCache>
                <c:ptCount val="1"/>
                <c:pt idx="0">
                  <c:v>2 GB - Time (ms)</c:v>
                </c:pt>
              </c:strCache>
            </c:strRef>
          </c:cat>
          <c:val>
            <c:numRef>
              <c:f>PrintStats!$S$2</c:f>
              <c:numCache>
                <c:formatCode>#,##0.000</c:formatCode>
                <c:ptCount val="1"/>
                <c:pt idx="0">
                  <c:v>8795.9699999999993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5-234F-90FD-3DE5D51E4D75}"/>
            </c:ext>
          </c:extLst>
        </c:ser>
        <c:ser>
          <c:idx val="1"/>
          <c:order val="1"/>
          <c:tx>
            <c:strRef>
              <c:f>PrintStats!$P$3</c:f>
              <c:strCache>
                <c:ptCount val="1"/>
                <c:pt idx="0">
                  <c:v>Runtime Overhead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PrintStats!$S$1</c:f>
              <c:strCache>
                <c:ptCount val="1"/>
                <c:pt idx="0">
                  <c:v>2 GB - Time (ms)</c:v>
                </c:pt>
              </c:strCache>
            </c:strRef>
          </c:cat>
          <c:val>
            <c:numRef>
              <c:f>PrintStats!$S$3</c:f>
              <c:numCache>
                <c:formatCode>#,##0.000</c:formatCode>
                <c:ptCount val="1"/>
                <c:pt idx="0">
                  <c:v>82.808000000000007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65-234F-90FD-3DE5D51E4D75}"/>
            </c:ext>
          </c:extLst>
        </c:ser>
        <c:ser>
          <c:idx val="2"/>
          <c:order val="2"/>
          <c:tx>
            <c:strRef>
              <c:f>PrintStats!$P$4</c:f>
              <c:strCache>
                <c:ptCount val="1"/>
                <c:pt idx="0">
                  <c:v>Fork Time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5"/>
                  <c:y val="-2.314814814814814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65-234F-90FD-3DE5D51E4D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PrintStats!$S$1</c:f>
              <c:strCache>
                <c:ptCount val="1"/>
                <c:pt idx="0">
                  <c:v>2 GB - Time (ms)</c:v>
                </c:pt>
              </c:strCache>
            </c:strRef>
          </c:cat>
          <c:val>
            <c:numRef>
              <c:f>PrintStats!$S$4</c:f>
              <c:numCache>
                <c:formatCode>#,##0.000</c:formatCode>
                <c:ptCount val="1"/>
                <c:pt idx="0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65-234F-90FD-3DE5D51E4D75}"/>
            </c:ext>
          </c:extLst>
        </c:ser>
        <c:ser>
          <c:idx val="3"/>
          <c:order val="3"/>
          <c:tx>
            <c:strRef>
              <c:f>PrintStats!$P$5</c:f>
              <c:strCache>
                <c:ptCount val="1"/>
                <c:pt idx="0">
                  <c:v>Restore Time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PrintStats!$S$1</c:f>
              <c:strCache>
                <c:ptCount val="1"/>
                <c:pt idx="0">
                  <c:v>2 GB - Time (ms)</c:v>
                </c:pt>
              </c:strCache>
            </c:strRef>
          </c:cat>
          <c:val>
            <c:numRef>
              <c:f>PrintStats!$S$5</c:f>
              <c:numCache>
                <c:formatCode>#,##0.000</c:formatCode>
                <c:ptCount val="1"/>
                <c:pt idx="0">
                  <c:v>832.16600000000005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65-234F-90FD-3DE5D51E4D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36624208"/>
        <c:axId val="736625920"/>
      </c:barChart>
      <c:catAx>
        <c:axId val="7366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5920"/>
        <c:crosses val="autoZero"/>
        <c:auto val="1"/>
        <c:lblAlgn val="ctr"/>
        <c:lblOffset val="100"/>
        <c:noMultiLvlLbl val="0"/>
      </c:catAx>
      <c:valAx>
        <c:axId val="736625920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PrintStats!$P$2</c:f>
              <c:strCache>
                <c:ptCount val="1"/>
                <c:pt idx="0">
                  <c:v>Podman Overhead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CA-ED4A-87E2-E7C6F1C384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PrintStats!$T$1</c:f>
              <c:strCache>
                <c:ptCount val="1"/>
                <c:pt idx="0">
                  <c:v>3 GB - Time (ms)</c:v>
                </c:pt>
              </c:strCache>
            </c:strRef>
          </c:cat>
          <c:val>
            <c:numRef>
              <c:f>PrintStats!$T$2</c:f>
              <c:numCache>
                <c:formatCode>#,##0.000</c:formatCode>
                <c:ptCount val="1"/>
                <c:pt idx="0">
                  <c:v>11407.457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A-ED4A-87E2-E7C6F1C38455}"/>
            </c:ext>
          </c:extLst>
        </c:ser>
        <c:ser>
          <c:idx val="1"/>
          <c:order val="1"/>
          <c:tx>
            <c:strRef>
              <c:f>PrintStats!$P$3</c:f>
              <c:strCache>
                <c:ptCount val="1"/>
                <c:pt idx="0">
                  <c:v>Runtime Overhead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PrintStats!$T$1</c:f>
              <c:strCache>
                <c:ptCount val="1"/>
                <c:pt idx="0">
                  <c:v>3 GB - Time (ms)</c:v>
                </c:pt>
              </c:strCache>
            </c:strRef>
          </c:cat>
          <c:val>
            <c:numRef>
              <c:f>PrintStats!$T$3</c:f>
              <c:numCache>
                <c:formatCode>#,##0.000</c:formatCode>
                <c:ptCount val="1"/>
                <c:pt idx="0">
                  <c:v>78.724000000000004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CA-ED4A-87E2-E7C6F1C38455}"/>
            </c:ext>
          </c:extLst>
        </c:ser>
        <c:ser>
          <c:idx val="2"/>
          <c:order val="2"/>
          <c:tx>
            <c:strRef>
              <c:f>PrintStats!$P$4</c:f>
              <c:strCache>
                <c:ptCount val="1"/>
                <c:pt idx="0">
                  <c:v>Fork Time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6851851851851855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CA-ED4A-87E2-E7C6F1C384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PrintStats!$T$1</c:f>
              <c:strCache>
                <c:ptCount val="1"/>
                <c:pt idx="0">
                  <c:v>3 GB - Time (ms)</c:v>
                </c:pt>
              </c:strCache>
            </c:strRef>
          </c:cat>
          <c:val>
            <c:numRef>
              <c:f>PrintStats!$T$4</c:f>
              <c:numCache>
                <c:formatCode>#,##0.000</c:formatCode>
                <c:ptCount val="1"/>
                <c:pt idx="0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CA-ED4A-87E2-E7C6F1C38455}"/>
            </c:ext>
          </c:extLst>
        </c:ser>
        <c:ser>
          <c:idx val="3"/>
          <c:order val="3"/>
          <c:tx>
            <c:strRef>
              <c:f>PrintStats!$P$5</c:f>
              <c:strCache>
                <c:ptCount val="1"/>
                <c:pt idx="0">
                  <c:v>Restore Time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PrintStats!$T$1</c:f>
              <c:strCache>
                <c:ptCount val="1"/>
                <c:pt idx="0">
                  <c:v>3 GB - Time (ms)</c:v>
                </c:pt>
              </c:strCache>
            </c:strRef>
          </c:cat>
          <c:val>
            <c:numRef>
              <c:f>PrintStats!$T$5</c:f>
              <c:numCache>
                <c:formatCode>#,##0.000</c:formatCode>
                <c:ptCount val="1"/>
                <c:pt idx="0">
                  <c:v>1144.797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CA-ED4A-87E2-E7C6F1C384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36624208"/>
        <c:axId val="736625920"/>
      </c:barChart>
      <c:catAx>
        <c:axId val="7366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5920"/>
        <c:crosses val="autoZero"/>
        <c:auto val="1"/>
        <c:lblAlgn val="ctr"/>
        <c:lblOffset val="100"/>
        <c:noMultiLvlLbl val="0"/>
      </c:catAx>
      <c:valAx>
        <c:axId val="73662592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 time of target programs with different memory sizes</a:t>
            </a:r>
            <a:r>
              <a:rPr lang="zh-CN" altLang="en-US" b="1"/>
              <a:t> </a:t>
            </a:r>
            <a:r>
              <a:rPr lang="en-US" altLang="zh-CN" b="1"/>
              <a:t>@er078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'c6620'!$C$1</c:f>
              <c:strCache>
                <c:ptCount val="1"/>
                <c:pt idx="0">
                  <c:v>Snapshot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'c6620'!$B$2:$B$8</c:f>
              <c:numCache>
                <c:formatCode>#,##0</c:formatCode>
                <c:ptCount val="7"/>
                <c:pt idx="0">
                  <c:v>40.919921875</c:v>
                </c:pt>
                <c:pt idx="1">
                  <c:v>114.7509765625</c:v>
                </c:pt>
                <c:pt idx="2">
                  <c:v>174.9248046875</c:v>
                </c:pt>
                <c:pt idx="3">
                  <c:v>306.873046875</c:v>
                </c:pt>
                <c:pt idx="4">
                  <c:v>562.923828125</c:v>
                </c:pt>
                <c:pt idx="5">
                  <c:v>1074.92578125</c:v>
                </c:pt>
                <c:pt idx="6">
                  <c:v>2095.08203125</c:v>
                </c:pt>
              </c:numCache>
            </c:numRef>
          </c:xVal>
          <c:yVal>
            <c:numRef>
              <c:f>'c6620'!$C$2:$C$8</c:f>
              <c:numCache>
                <c:formatCode>#,##0.000</c:formatCode>
                <c:ptCount val="7"/>
                <c:pt idx="0">
                  <c:v>513.08699999999999</c:v>
                </c:pt>
                <c:pt idx="1">
                  <c:v>733.81700000000001</c:v>
                </c:pt>
                <c:pt idx="2">
                  <c:v>907.32100000000003</c:v>
                </c:pt>
                <c:pt idx="3">
                  <c:v>1260.5640000000001</c:v>
                </c:pt>
                <c:pt idx="4">
                  <c:v>1731.1210000000001</c:v>
                </c:pt>
                <c:pt idx="5">
                  <c:v>2897.3240000000001</c:v>
                </c:pt>
                <c:pt idx="6">
                  <c:v>4972.2730000000001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D-DA43-AC5D-D863E273457B}"/>
            </c:ext>
          </c:extLst>
        </c:ser>
        <c:ser>
          <c:idx val="1"/>
          <c:order val="1"/>
          <c:tx>
            <c:strRef>
              <c:f>'c6620'!$D$1</c:f>
              <c:strCache>
                <c:ptCount val="1"/>
                <c:pt idx="0">
                  <c:v>Container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'c6620'!$B$2:$B$8</c:f>
              <c:numCache>
                <c:formatCode>#,##0</c:formatCode>
                <c:ptCount val="7"/>
                <c:pt idx="0">
                  <c:v>40.919921875</c:v>
                </c:pt>
                <c:pt idx="1">
                  <c:v>114.7509765625</c:v>
                </c:pt>
                <c:pt idx="2">
                  <c:v>174.9248046875</c:v>
                </c:pt>
                <c:pt idx="3">
                  <c:v>306.873046875</c:v>
                </c:pt>
                <c:pt idx="4">
                  <c:v>562.923828125</c:v>
                </c:pt>
                <c:pt idx="5">
                  <c:v>1074.92578125</c:v>
                </c:pt>
                <c:pt idx="6">
                  <c:v>2095.08203125</c:v>
                </c:pt>
              </c:numCache>
            </c:numRef>
          </c:xVal>
          <c:yVal>
            <c:numRef>
              <c:f>'c6620'!$D$2:$D$8</c:f>
              <c:numCache>
                <c:formatCode>#,##0.000</c:formatCode>
                <c:ptCount val="7"/>
                <c:pt idx="0">
                  <c:v>523.06600000000003</c:v>
                </c:pt>
                <c:pt idx="1">
                  <c:v>1025.3240000000001</c:v>
                </c:pt>
                <c:pt idx="2">
                  <c:v>1391.095</c:v>
                </c:pt>
                <c:pt idx="3">
                  <c:v>2107.569</c:v>
                </c:pt>
                <c:pt idx="4">
                  <c:v>3556.857</c:v>
                </c:pt>
                <c:pt idx="5">
                  <c:v>6491.76</c:v>
                </c:pt>
                <c:pt idx="6">
                  <c:v>12213.09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BD-DA43-AC5D-D863E273457B}"/>
            </c:ext>
          </c:extLst>
        </c:ser>
        <c:ser>
          <c:idx val="2"/>
          <c:order val="2"/>
          <c:tx>
            <c:strRef>
              <c:f>'c6620'!$E$1</c:f>
              <c:strCache>
                <c:ptCount val="1"/>
                <c:pt idx="0">
                  <c:v>Restore (ms)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'c6620'!$B$2:$B$8</c:f>
              <c:numCache>
                <c:formatCode>#,##0</c:formatCode>
                <c:ptCount val="7"/>
                <c:pt idx="0">
                  <c:v>40.919921875</c:v>
                </c:pt>
                <c:pt idx="1">
                  <c:v>114.7509765625</c:v>
                </c:pt>
                <c:pt idx="2">
                  <c:v>174.9248046875</c:v>
                </c:pt>
                <c:pt idx="3">
                  <c:v>306.873046875</c:v>
                </c:pt>
                <c:pt idx="4">
                  <c:v>562.923828125</c:v>
                </c:pt>
                <c:pt idx="5">
                  <c:v>1074.92578125</c:v>
                </c:pt>
                <c:pt idx="6">
                  <c:v>2095.08203125</c:v>
                </c:pt>
              </c:numCache>
            </c:numRef>
          </c:xVal>
          <c:yVal>
            <c:numRef>
              <c:f>'c6620'!$E$2:$E$8</c:f>
              <c:numCache>
                <c:formatCode>#,##0.000</c:formatCode>
                <c:ptCount val="7"/>
                <c:pt idx="0">
                  <c:v>1134.402</c:v>
                </c:pt>
                <c:pt idx="1">
                  <c:v>1631.5730000000001</c:v>
                </c:pt>
                <c:pt idx="2">
                  <c:v>2040.479</c:v>
                </c:pt>
                <c:pt idx="3">
                  <c:v>2715.9830000000002</c:v>
                </c:pt>
                <c:pt idx="4">
                  <c:v>4211.8890000000001</c:v>
                </c:pt>
                <c:pt idx="5">
                  <c:v>7143.8739999999998</c:v>
                </c:pt>
                <c:pt idx="6">
                  <c:v>12852.317999999999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BD-DA43-AC5D-D863E273457B}"/>
            </c:ext>
          </c:extLst>
        </c:ser>
        <c:ser>
          <c:idx val="3"/>
          <c:order val="3"/>
          <c:tx>
            <c:strRef>
              <c:f>'c6620'!$F$1</c:f>
              <c:strCache>
                <c:ptCount val="1"/>
                <c:pt idx="0">
                  <c:v>Time-B (ms)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'c6620'!$B$2:$B$8</c:f>
              <c:numCache>
                <c:formatCode>#,##0</c:formatCode>
                <c:ptCount val="7"/>
                <c:pt idx="0">
                  <c:v>40.919921875</c:v>
                </c:pt>
                <c:pt idx="1">
                  <c:v>114.7509765625</c:v>
                </c:pt>
                <c:pt idx="2">
                  <c:v>174.9248046875</c:v>
                </c:pt>
                <c:pt idx="3">
                  <c:v>306.873046875</c:v>
                </c:pt>
                <c:pt idx="4">
                  <c:v>562.923828125</c:v>
                </c:pt>
                <c:pt idx="5">
                  <c:v>1074.92578125</c:v>
                </c:pt>
                <c:pt idx="6">
                  <c:v>2095.08203125</c:v>
                </c:pt>
              </c:numCache>
            </c:numRef>
          </c:xVal>
          <c:yVal>
            <c:numRef>
              <c:f>'c6620'!$F$2:$F$8</c:f>
              <c:numCache>
                <c:formatCode>#,##0.000</c:formatCode>
                <c:ptCount val="7"/>
                <c:pt idx="0">
                  <c:v>5.4989999999999997</c:v>
                </c:pt>
                <c:pt idx="1">
                  <c:v>5.7539999999999996</c:v>
                </c:pt>
                <c:pt idx="2">
                  <c:v>5.101</c:v>
                </c:pt>
                <c:pt idx="3">
                  <c:v>5.4210000000000003</c:v>
                </c:pt>
                <c:pt idx="4">
                  <c:v>5.8689999999999998</c:v>
                </c:pt>
                <c:pt idx="5">
                  <c:v>5.04</c:v>
                </c:pt>
                <c:pt idx="6">
                  <c:v>5.92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BD-DA43-AC5D-D863E2734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715376"/>
        <c:axId val="972621376"/>
      </c:scatterChart>
      <c:valAx>
        <c:axId val="972715376"/>
        <c:scaling>
          <c:orientation val="minMax"/>
          <c:max val="21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VmRss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21376"/>
        <c:crosses val="autoZero"/>
        <c:crossBetween val="midCat"/>
        <c:majorUnit val="100"/>
      </c:valAx>
      <c:valAx>
        <c:axId val="972621376"/>
        <c:scaling>
          <c:orientation val="minMax"/>
          <c:max val="2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</a:t>
                </a:r>
                <a:r>
                  <a:rPr lang="en-US" sz="1200" baseline="0"/>
                  <a:t> (ms)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15376"/>
        <c:crossesAt val="0"/>
        <c:crossBetween val="midCat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Overhead of target programs with different memory sizes (details)</a:t>
            </a:r>
            <a:r>
              <a:rPr lang="zh-CN" altLang="en-US"/>
              <a:t> </a:t>
            </a:r>
            <a:r>
              <a:rPr lang="en-US" altLang="zh-CN"/>
              <a:t>@er078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'c6620'!$C$1</c:f>
              <c:strCache>
                <c:ptCount val="1"/>
                <c:pt idx="0">
                  <c:v>Snapshot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'c6620'!$B$2:$B$7</c:f>
              <c:numCache>
                <c:formatCode>#,##0</c:formatCode>
                <c:ptCount val="6"/>
                <c:pt idx="0">
                  <c:v>40.919921875</c:v>
                </c:pt>
                <c:pt idx="1">
                  <c:v>114.7509765625</c:v>
                </c:pt>
                <c:pt idx="2">
                  <c:v>174.9248046875</c:v>
                </c:pt>
                <c:pt idx="3">
                  <c:v>306.873046875</c:v>
                </c:pt>
                <c:pt idx="4">
                  <c:v>562.923828125</c:v>
                </c:pt>
                <c:pt idx="5">
                  <c:v>1074.92578125</c:v>
                </c:pt>
              </c:numCache>
            </c:numRef>
          </c:xVal>
          <c:yVal>
            <c:numRef>
              <c:f>'c6620'!$C$2:$C$7</c:f>
              <c:numCache>
                <c:formatCode>#,##0.000</c:formatCode>
                <c:ptCount val="6"/>
                <c:pt idx="0">
                  <c:v>513.08699999999999</c:v>
                </c:pt>
                <c:pt idx="1">
                  <c:v>733.81700000000001</c:v>
                </c:pt>
                <c:pt idx="2">
                  <c:v>907.32100000000003</c:v>
                </c:pt>
                <c:pt idx="3">
                  <c:v>1260.5640000000001</c:v>
                </c:pt>
                <c:pt idx="4">
                  <c:v>1731.1210000000001</c:v>
                </c:pt>
                <c:pt idx="5">
                  <c:v>2897.3240000000001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1E-1F4F-9635-2CCB4EAF64DC}"/>
            </c:ext>
          </c:extLst>
        </c:ser>
        <c:ser>
          <c:idx val="1"/>
          <c:order val="1"/>
          <c:tx>
            <c:strRef>
              <c:f>'c6620'!$D$1</c:f>
              <c:strCache>
                <c:ptCount val="1"/>
                <c:pt idx="0">
                  <c:v>Container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'c6620'!$B$2:$B$7</c:f>
              <c:numCache>
                <c:formatCode>#,##0</c:formatCode>
                <c:ptCount val="6"/>
                <c:pt idx="0">
                  <c:v>40.919921875</c:v>
                </c:pt>
                <c:pt idx="1">
                  <c:v>114.7509765625</c:v>
                </c:pt>
                <c:pt idx="2">
                  <c:v>174.9248046875</c:v>
                </c:pt>
                <c:pt idx="3">
                  <c:v>306.873046875</c:v>
                </c:pt>
                <c:pt idx="4">
                  <c:v>562.923828125</c:v>
                </c:pt>
                <c:pt idx="5">
                  <c:v>1074.92578125</c:v>
                </c:pt>
              </c:numCache>
            </c:numRef>
          </c:xVal>
          <c:yVal>
            <c:numRef>
              <c:f>'c6620'!$D$2:$D$7</c:f>
              <c:numCache>
                <c:formatCode>#,##0.000</c:formatCode>
                <c:ptCount val="6"/>
                <c:pt idx="0">
                  <c:v>523.06600000000003</c:v>
                </c:pt>
                <c:pt idx="1">
                  <c:v>1025.3240000000001</c:v>
                </c:pt>
                <c:pt idx="2">
                  <c:v>1391.095</c:v>
                </c:pt>
                <c:pt idx="3">
                  <c:v>2107.569</c:v>
                </c:pt>
                <c:pt idx="4">
                  <c:v>3556.857</c:v>
                </c:pt>
                <c:pt idx="5">
                  <c:v>6491.76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1E-1F4F-9635-2CCB4EAF64DC}"/>
            </c:ext>
          </c:extLst>
        </c:ser>
        <c:ser>
          <c:idx val="2"/>
          <c:order val="2"/>
          <c:tx>
            <c:strRef>
              <c:f>'c6620'!$E$1</c:f>
              <c:strCache>
                <c:ptCount val="1"/>
                <c:pt idx="0">
                  <c:v>Restore (ms)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'c6620'!$B$2:$B$7</c:f>
              <c:numCache>
                <c:formatCode>#,##0</c:formatCode>
                <c:ptCount val="6"/>
                <c:pt idx="0">
                  <c:v>40.919921875</c:v>
                </c:pt>
                <c:pt idx="1">
                  <c:v>114.7509765625</c:v>
                </c:pt>
                <c:pt idx="2">
                  <c:v>174.9248046875</c:v>
                </c:pt>
                <c:pt idx="3">
                  <c:v>306.873046875</c:v>
                </c:pt>
                <c:pt idx="4">
                  <c:v>562.923828125</c:v>
                </c:pt>
                <c:pt idx="5">
                  <c:v>1074.92578125</c:v>
                </c:pt>
              </c:numCache>
            </c:numRef>
          </c:xVal>
          <c:yVal>
            <c:numRef>
              <c:f>'c6620'!$E$2:$E$7</c:f>
              <c:numCache>
                <c:formatCode>#,##0.000</c:formatCode>
                <c:ptCount val="6"/>
                <c:pt idx="0">
                  <c:v>1134.402</c:v>
                </c:pt>
                <c:pt idx="1">
                  <c:v>1631.5730000000001</c:v>
                </c:pt>
                <c:pt idx="2">
                  <c:v>2040.479</c:v>
                </c:pt>
                <c:pt idx="3">
                  <c:v>2715.9830000000002</c:v>
                </c:pt>
                <c:pt idx="4">
                  <c:v>4211.8890000000001</c:v>
                </c:pt>
                <c:pt idx="5">
                  <c:v>7143.8739999999998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1E-1F4F-9635-2CCB4EAF64DC}"/>
            </c:ext>
          </c:extLst>
        </c:ser>
        <c:ser>
          <c:idx val="3"/>
          <c:order val="3"/>
          <c:tx>
            <c:strRef>
              <c:f>'c6620'!$F$1</c:f>
              <c:strCache>
                <c:ptCount val="1"/>
                <c:pt idx="0">
                  <c:v>Time-B (ms)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'c6620'!$B$2:$B$7</c:f>
              <c:numCache>
                <c:formatCode>#,##0</c:formatCode>
                <c:ptCount val="6"/>
                <c:pt idx="0">
                  <c:v>40.919921875</c:v>
                </c:pt>
                <c:pt idx="1">
                  <c:v>114.7509765625</c:v>
                </c:pt>
                <c:pt idx="2">
                  <c:v>174.9248046875</c:v>
                </c:pt>
                <c:pt idx="3">
                  <c:v>306.873046875</c:v>
                </c:pt>
                <c:pt idx="4">
                  <c:v>562.923828125</c:v>
                </c:pt>
                <c:pt idx="5">
                  <c:v>1074.92578125</c:v>
                </c:pt>
              </c:numCache>
            </c:numRef>
          </c:xVal>
          <c:yVal>
            <c:numRef>
              <c:f>'c6620'!$F$2:$F$7</c:f>
              <c:numCache>
                <c:formatCode>#,##0.000</c:formatCode>
                <c:ptCount val="6"/>
                <c:pt idx="0">
                  <c:v>5.4989999999999997</c:v>
                </c:pt>
                <c:pt idx="1">
                  <c:v>5.7539999999999996</c:v>
                </c:pt>
                <c:pt idx="2">
                  <c:v>5.101</c:v>
                </c:pt>
                <c:pt idx="3">
                  <c:v>5.4210000000000003</c:v>
                </c:pt>
                <c:pt idx="4">
                  <c:v>5.8689999999999998</c:v>
                </c:pt>
                <c:pt idx="5">
                  <c:v>5.04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1E-1F4F-9635-2CCB4EAF6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715376"/>
        <c:axId val="972621376"/>
      </c:scatterChart>
      <c:scatterChart>
        <c:scatterStyle val="lineMarker"/>
        <c:varyColors val="0"/>
        <c:ser>
          <c:idx val="4"/>
          <c:order val="4"/>
          <c:tx>
            <c:strRef>
              <c:f>'c6620'!$G$1</c:f>
              <c:strCache>
                <c:ptCount val="1"/>
                <c:pt idx="0">
                  <c:v>Storage (MB)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'c6620'!$B$2:$B$7</c:f>
              <c:numCache>
                <c:formatCode>#,##0</c:formatCode>
                <c:ptCount val="6"/>
                <c:pt idx="0">
                  <c:v>40.919921875</c:v>
                </c:pt>
                <c:pt idx="1">
                  <c:v>114.7509765625</c:v>
                </c:pt>
                <c:pt idx="2">
                  <c:v>174.9248046875</c:v>
                </c:pt>
                <c:pt idx="3">
                  <c:v>306.873046875</c:v>
                </c:pt>
                <c:pt idx="4">
                  <c:v>562.923828125</c:v>
                </c:pt>
                <c:pt idx="5">
                  <c:v>1074.92578125</c:v>
                </c:pt>
              </c:numCache>
            </c:numRef>
          </c:xVal>
          <c:yVal>
            <c:numRef>
              <c:f>'c6620'!$G$2:$G$7</c:f>
              <c:numCache>
                <c:formatCode>#,##0.000</c:formatCode>
                <c:ptCount val="6"/>
                <c:pt idx="0">
                  <c:v>6.9550000000000001</c:v>
                </c:pt>
                <c:pt idx="1">
                  <c:v>8.2739999999999991</c:v>
                </c:pt>
                <c:pt idx="2">
                  <c:v>8.3260000000000005</c:v>
                </c:pt>
                <c:pt idx="3">
                  <c:v>8.3030000000000008</c:v>
                </c:pt>
                <c:pt idx="4">
                  <c:v>8.3350000000000009</c:v>
                </c:pt>
                <c:pt idx="5">
                  <c:v>8.4320000000000004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1E-1F4F-9635-2CCB4EAF6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868768"/>
        <c:axId val="419930992"/>
      </c:scatterChart>
      <c:valAx>
        <c:axId val="972715376"/>
        <c:scaling>
          <c:orientation val="minMax"/>
          <c:max val="1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VmRss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21376"/>
        <c:crosses val="autoZero"/>
        <c:crossBetween val="midCat"/>
        <c:majorUnit val="100"/>
      </c:valAx>
      <c:valAx>
        <c:axId val="9726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</a:t>
                </a:r>
                <a:r>
                  <a:rPr lang="en-US" sz="1400" baseline="0"/>
                  <a:t> (ms)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15376"/>
        <c:crossesAt val="0"/>
        <c:crossBetween val="midCat"/>
        <c:majorUnit val="1000"/>
      </c:valAx>
      <c:valAx>
        <c:axId val="419930992"/>
        <c:scaling>
          <c:orientation val="minMax"/>
          <c:min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Size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68768"/>
        <c:crosses val="max"/>
        <c:crossBetween val="midCat"/>
      </c:valAx>
      <c:valAx>
        <c:axId val="41986876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41993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 time of target programs with different memory sizes</a:t>
            </a:r>
            <a:r>
              <a:rPr lang="zh-CN" altLang="en-US" b="1"/>
              <a:t> </a:t>
            </a:r>
            <a:r>
              <a:rPr lang="en-US" altLang="zh-CN" b="1"/>
              <a:t>@EC2-232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brsys!$D$1</c:f>
              <c:strCache>
                <c:ptCount val="1"/>
                <c:pt idx="0">
                  <c:v>Snapshot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brsys!$C$2:$C$8</c:f>
              <c:numCache>
                <c:formatCode>#,##0</c:formatCode>
                <c:ptCount val="7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  <c:pt idx="6">
                  <c:v>2098.388671875</c:v>
                </c:pt>
              </c:numCache>
            </c:numRef>
          </c:xVal>
          <c:yVal>
            <c:numRef>
              <c:f>brsys!$D$2:$D$8</c:f>
              <c:numCache>
                <c:formatCode>#,##0.000</c:formatCode>
                <c:ptCount val="7"/>
                <c:pt idx="0">
                  <c:v>549.63400000000001</c:v>
                </c:pt>
                <c:pt idx="1">
                  <c:v>825.74300000000005</c:v>
                </c:pt>
                <c:pt idx="2">
                  <c:v>1012.967</c:v>
                </c:pt>
                <c:pt idx="3">
                  <c:v>1852.9179999999999</c:v>
                </c:pt>
                <c:pt idx="4">
                  <c:v>3419.1759999999999</c:v>
                </c:pt>
                <c:pt idx="5">
                  <c:v>7490.2830000000004</c:v>
                </c:pt>
                <c:pt idx="6">
                  <c:v>27071.938999999998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9-6F4C-BBE1-4413BECB6CDB}"/>
            </c:ext>
          </c:extLst>
        </c:ser>
        <c:ser>
          <c:idx val="1"/>
          <c:order val="1"/>
          <c:tx>
            <c:strRef>
              <c:f>brsys!$E$1</c:f>
              <c:strCache>
                <c:ptCount val="1"/>
                <c:pt idx="0">
                  <c:v>Container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brsys!$C$2:$C$8</c:f>
              <c:numCache>
                <c:formatCode>#,##0</c:formatCode>
                <c:ptCount val="7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  <c:pt idx="6">
                  <c:v>2098.388671875</c:v>
                </c:pt>
              </c:numCache>
            </c:numRef>
          </c:xVal>
          <c:yVal>
            <c:numRef>
              <c:f>brsys!$E$2:$E$8</c:f>
              <c:numCache>
                <c:formatCode>#,##0.000</c:formatCode>
                <c:ptCount val="7"/>
                <c:pt idx="0">
                  <c:v>708.18299999999999</c:v>
                </c:pt>
                <c:pt idx="1">
                  <c:v>1040.9069999999999</c:v>
                </c:pt>
                <c:pt idx="2">
                  <c:v>1348.711</c:v>
                </c:pt>
                <c:pt idx="3">
                  <c:v>1846.9259999999999</c:v>
                </c:pt>
                <c:pt idx="4">
                  <c:v>2844.817</c:v>
                </c:pt>
                <c:pt idx="5">
                  <c:v>5688.47</c:v>
                </c:pt>
                <c:pt idx="6">
                  <c:v>15711.916999999999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39-6F4C-BBE1-4413BECB6CDB}"/>
            </c:ext>
          </c:extLst>
        </c:ser>
        <c:ser>
          <c:idx val="2"/>
          <c:order val="2"/>
          <c:tx>
            <c:strRef>
              <c:f>brsys!$F$1</c:f>
              <c:strCache>
                <c:ptCount val="1"/>
                <c:pt idx="0">
                  <c:v>Restore (ms)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brsys!$C$2:$C$8</c:f>
              <c:numCache>
                <c:formatCode>#,##0</c:formatCode>
                <c:ptCount val="7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  <c:pt idx="6">
                  <c:v>2098.388671875</c:v>
                </c:pt>
              </c:numCache>
            </c:numRef>
          </c:xVal>
          <c:yVal>
            <c:numRef>
              <c:f>brsys!$F$2:$F$8</c:f>
              <c:numCache>
                <c:formatCode>#,##0.000</c:formatCode>
                <c:ptCount val="7"/>
                <c:pt idx="0">
                  <c:v>1314.886</c:v>
                </c:pt>
                <c:pt idx="1">
                  <c:v>1716.652</c:v>
                </c:pt>
                <c:pt idx="2">
                  <c:v>1985.335</c:v>
                </c:pt>
                <c:pt idx="3">
                  <c:v>2450.377</c:v>
                </c:pt>
                <c:pt idx="4">
                  <c:v>3648.248</c:v>
                </c:pt>
                <c:pt idx="5">
                  <c:v>6492.9489999999996</c:v>
                </c:pt>
                <c:pt idx="6">
                  <c:v>16150.834000000001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39-6F4C-BBE1-4413BECB6CDB}"/>
            </c:ext>
          </c:extLst>
        </c:ser>
        <c:ser>
          <c:idx val="3"/>
          <c:order val="3"/>
          <c:tx>
            <c:strRef>
              <c:f>brsys!$G$1</c:f>
              <c:strCache>
                <c:ptCount val="1"/>
                <c:pt idx="0">
                  <c:v>Time-B (ms)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brsys!$C$2:$C$8</c:f>
              <c:numCache>
                <c:formatCode>#,##0</c:formatCode>
                <c:ptCount val="7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  <c:pt idx="6">
                  <c:v>2098.388671875</c:v>
                </c:pt>
              </c:numCache>
            </c:numRef>
          </c:xVal>
          <c:yVal>
            <c:numRef>
              <c:f>brsys!$G$2:$G$8</c:f>
              <c:numCache>
                <c:formatCode>#,##0.000</c:formatCode>
                <c:ptCount val="7"/>
                <c:pt idx="0">
                  <c:v>3.427</c:v>
                </c:pt>
                <c:pt idx="1">
                  <c:v>3.4849999999999999</c:v>
                </c:pt>
                <c:pt idx="2">
                  <c:v>3.5630000000000002</c:v>
                </c:pt>
                <c:pt idx="3">
                  <c:v>3.6739999999999999</c:v>
                </c:pt>
                <c:pt idx="4">
                  <c:v>3.6850000000000001</c:v>
                </c:pt>
                <c:pt idx="5">
                  <c:v>3.4049999999999998</c:v>
                </c:pt>
                <c:pt idx="6">
                  <c:v>3.9159999999999999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39-6F4C-BBE1-4413BECB6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715376"/>
        <c:axId val="972621376"/>
      </c:scatterChart>
      <c:valAx>
        <c:axId val="972715376"/>
        <c:scaling>
          <c:orientation val="minMax"/>
          <c:max val="21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VmRss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21376"/>
        <c:crosses val="autoZero"/>
        <c:crossBetween val="midCat"/>
        <c:majorUnit val="100"/>
      </c:valAx>
      <c:valAx>
        <c:axId val="9726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</a:t>
                </a:r>
                <a:r>
                  <a:rPr lang="en-US" sz="1200" baseline="0"/>
                  <a:t> (ms)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15376"/>
        <c:crossesAt val="0"/>
        <c:crossBetween val="midCat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Overhead of target programs with different memory sizes (details)</a:t>
            </a:r>
            <a:r>
              <a:rPr lang="zh-CN" altLang="en-US"/>
              <a:t> </a:t>
            </a:r>
            <a:r>
              <a:rPr lang="en-US" altLang="zh-CN"/>
              <a:t>@EC2-232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brsys!$D$1</c:f>
              <c:strCache>
                <c:ptCount val="1"/>
                <c:pt idx="0">
                  <c:v>Snapshot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brsys!$C$2:$C$7</c:f>
              <c:numCache>
                <c:formatCode>#,##0</c:formatCode>
                <c:ptCount val="6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</c:numCache>
            </c:numRef>
          </c:xVal>
          <c:yVal>
            <c:numRef>
              <c:f>brsys!$D$2:$D$7</c:f>
              <c:numCache>
                <c:formatCode>#,##0.000</c:formatCode>
                <c:ptCount val="6"/>
                <c:pt idx="0">
                  <c:v>549.63400000000001</c:v>
                </c:pt>
                <c:pt idx="1">
                  <c:v>825.74300000000005</c:v>
                </c:pt>
                <c:pt idx="2">
                  <c:v>1012.967</c:v>
                </c:pt>
                <c:pt idx="3">
                  <c:v>1852.9179999999999</c:v>
                </c:pt>
                <c:pt idx="4">
                  <c:v>3419.1759999999999</c:v>
                </c:pt>
                <c:pt idx="5">
                  <c:v>7490.2830000000004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1-0A41-8F43-0D228433A925}"/>
            </c:ext>
          </c:extLst>
        </c:ser>
        <c:ser>
          <c:idx val="1"/>
          <c:order val="1"/>
          <c:tx>
            <c:strRef>
              <c:f>brsys!$E$1</c:f>
              <c:strCache>
                <c:ptCount val="1"/>
                <c:pt idx="0">
                  <c:v>Container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brsys!$C$2:$C$7</c:f>
              <c:numCache>
                <c:formatCode>#,##0</c:formatCode>
                <c:ptCount val="6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</c:numCache>
            </c:numRef>
          </c:xVal>
          <c:yVal>
            <c:numRef>
              <c:f>brsys!$E$2:$E$7</c:f>
              <c:numCache>
                <c:formatCode>#,##0.000</c:formatCode>
                <c:ptCount val="6"/>
                <c:pt idx="0">
                  <c:v>708.18299999999999</c:v>
                </c:pt>
                <c:pt idx="1">
                  <c:v>1040.9069999999999</c:v>
                </c:pt>
                <c:pt idx="2">
                  <c:v>1348.711</c:v>
                </c:pt>
                <c:pt idx="3">
                  <c:v>1846.9259999999999</c:v>
                </c:pt>
                <c:pt idx="4">
                  <c:v>2844.817</c:v>
                </c:pt>
                <c:pt idx="5">
                  <c:v>5688.47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1-0A41-8F43-0D228433A925}"/>
            </c:ext>
          </c:extLst>
        </c:ser>
        <c:ser>
          <c:idx val="2"/>
          <c:order val="2"/>
          <c:tx>
            <c:strRef>
              <c:f>brsys!$F$1</c:f>
              <c:strCache>
                <c:ptCount val="1"/>
                <c:pt idx="0">
                  <c:v>Restore (ms)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brsys!$C$2:$C$7</c:f>
              <c:numCache>
                <c:formatCode>#,##0</c:formatCode>
                <c:ptCount val="6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</c:numCache>
            </c:numRef>
          </c:xVal>
          <c:yVal>
            <c:numRef>
              <c:f>brsys!$F$2:$F$7</c:f>
              <c:numCache>
                <c:formatCode>#,##0.000</c:formatCode>
                <c:ptCount val="6"/>
                <c:pt idx="0">
                  <c:v>1314.886</c:v>
                </c:pt>
                <c:pt idx="1">
                  <c:v>1716.652</c:v>
                </c:pt>
                <c:pt idx="2">
                  <c:v>1985.335</c:v>
                </c:pt>
                <c:pt idx="3">
                  <c:v>2450.377</c:v>
                </c:pt>
                <c:pt idx="4">
                  <c:v>3648.248</c:v>
                </c:pt>
                <c:pt idx="5">
                  <c:v>6492.9489999999996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41-0A41-8F43-0D228433A925}"/>
            </c:ext>
          </c:extLst>
        </c:ser>
        <c:ser>
          <c:idx val="3"/>
          <c:order val="3"/>
          <c:tx>
            <c:strRef>
              <c:f>brsys!$G$1</c:f>
              <c:strCache>
                <c:ptCount val="1"/>
                <c:pt idx="0">
                  <c:v>Time-B (ms)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brsys!$C$2:$C$7</c:f>
              <c:numCache>
                <c:formatCode>#,##0</c:formatCode>
                <c:ptCount val="6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</c:numCache>
            </c:numRef>
          </c:xVal>
          <c:yVal>
            <c:numRef>
              <c:f>brsys!$G$2:$G$7</c:f>
              <c:numCache>
                <c:formatCode>#,##0.000</c:formatCode>
                <c:ptCount val="6"/>
                <c:pt idx="0">
                  <c:v>3.427</c:v>
                </c:pt>
                <c:pt idx="1">
                  <c:v>3.4849999999999999</c:v>
                </c:pt>
                <c:pt idx="2">
                  <c:v>3.5630000000000002</c:v>
                </c:pt>
                <c:pt idx="3">
                  <c:v>3.6739999999999999</c:v>
                </c:pt>
                <c:pt idx="4">
                  <c:v>3.6850000000000001</c:v>
                </c:pt>
                <c:pt idx="5">
                  <c:v>3.4049999999999998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41-0A41-8F43-0D228433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715376"/>
        <c:axId val="972621376"/>
      </c:scatterChart>
      <c:scatterChart>
        <c:scatterStyle val="lineMarker"/>
        <c:varyColors val="0"/>
        <c:ser>
          <c:idx val="4"/>
          <c:order val="4"/>
          <c:tx>
            <c:strRef>
              <c:f>brsys!$H$1</c:f>
              <c:strCache>
                <c:ptCount val="1"/>
                <c:pt idx="0">
                  <c:v>Storage (MB)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brsys!$C$2:$C$7</c:f>
              <c:numCache>
                <c:formatCode>#,##0</c:formatCode>
                <c:ptCount val="6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</c:numCache>
            </c:numRef>
          </c:xVal>
          <c:yVal>
            <c:numRef>
              <c:f>brsys!$H$2:$H$7</c:f>
              <c:numCache>
                <c:formatCode>#,##0.000</c:formatCode>
                <c:ptCount val="6"/>
                <c:pt idx="0">
                  <c:v>6.9390000000000001</c:v>
                </c:pt>
                <c:pt idx="1">
                  <c:v>8.26</c:v>
                </c:pt>
                <c:pt idx="2">
                  <c:v>8.2739999999999991</c:v>
                </c:pt>
                <c:pt idx="3">
                  <c:v>8.3059999999999992</c:v>
                </c:pt>
                <c:pt idx="4">
                  <c:v>8.3460000000000001</c:v>
                </c:pt>
                <c:pt idx="5">
                  <c:v>8.4499999999999993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41-0A41-8F43-0D228433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868768"/>
        <c:axId val="419930992"/>
      </c:scatterChart>
      <c:valAx>
        <c:axId val="972715376"/>
        <c:scaling>
          <c:orientation val="minMax"/>
          <c:max val="1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VmRss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21376"/>
        <c:crosses val="autoZero"/>
        <c:crossBetween val="midCat"/>
        <c:majorUnit val="100"/>
      </c:valAx>
      <c:valAx>
        <c:axId val="9726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</a:t>
                </a:r>
                <a:r>
                  <a:rPr lang="en-US" sz="1400" baseline="0"/>
                  <a:t> (ms)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15376"/>
        <c:crossesAt val="0"/>
        <c:crossBetween val="midCat"/>
        <c:majorUnit val="1000"/>
      </c:valAx>
      <c:valAx>
        <c:axId val="419930992"/>
        <c:scaling>
          <c:orientation val="minMax"/>
          <c:min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Size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68768"/>
        <c:crosses val="max"/>
        <c:crossBetween val="midCat"/>
      </c:valAx>
      <c:valAx>
        <c:axId val="41986876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41993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11</xdr:row>
      <xdr:rowOff>203200</xdr:rowOff>
    </xdr:from>
    <xdr:to>
      <xdr:col>9</xdr:col>
      <xdr:colOff>1435100</xdr:colOff>
      <xdr:row>28</xdr:row>
      <xdr:rowOff>50800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CF38BB6-2052-EC61-65DB-014B9A1D91EB}"/>
            </a:ext>
          </a:extLst>
        </xdr:cNvPr>
        <xdr:cNvGrpSpPr/>
      </xdr:nvGrpSpPr>
      <xdr:grpSpPr>
        <a:xfrm>
          <a:off x="228600" y="4394200"/>
          <a:ext cx="10312400" cy="5486400"/>
          <a:chOff x="139700" y="6946900"/>
          <a:chExt cx="11531600" cy="54864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8CC2A83-DC29-AC16-01D2-D36878C5BFB3}"/>
              </a:ext>
            </a:extLst>
          </xdr:cNvPr>
          <xdr:cNvGraphicFramePr/>
        </xdr:nvGraphicFramePr>
        <xdr:xfrm>
          <a:off x="139700" y="6946900"/>
          <a:ext cx="27432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98CC19A-1791-914E-99AA-563F43D17959}"/>
              </a:ext>
            </a:extLst>
          </xdr:cNvPr>
          <xdr:cNvGraphicFramePr>
            <a:graphicFrameLocks/>
          </xdr:cNvGraphicFramePr>
        </xdr:nvGraphicFramePr>
        <xdr:xfrm>
          <a:off x="3069167" y="6946900"/>
          <a:ext cx="27432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1A13471-A25A-004A-B560-5D5A1A9E4303}"/>
              </a:ext>
            </a:extLst>
          </xdr:cNvPr>
          <xdr:cNvGraphicFramePr>
            <a:graphicFrameLocks/>
          </xdr:cNvGraphicFramePr>
        </xdr:nvGraphicFramePr>
        <xdr:xfrm>
          <a:off x="5998634" y="6946900"/>
          <a:ext cx="27432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8027A641-E046-064A-9B78-6B27F22EB187}"/>
              </a:ext>
            </a:extLst>
          </xdr:cNvPr>
          <xdr:cNvGraphicFramePr>
            <a:graphicFrameLocks/>
          </xdr:cNvGraphicFramePr>
        </xdr:nvGraphicFramePr>
        <xdr:xfrm>
          <a:off x="8928100" y="6946900"/>
          <a:ext cx="27432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11</xdr:col>
      <xdr:colOff>584200</xdr:colOff>
      <xdr:row>8</xdr:row>
      <xdr:rowOff>279400</xdr:rowOff>
    </xdr:from>
    <xdr:to>
      <xdr:col>22</xdr:col>
      <xdr:colOff>25400</xdr:colOff>
      <xdr:row>23</xdr:row>
      <xdr:rowOff>190500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31B195E5-B252-73D7-0226-1E4A06D95E4F}"/>
            </a:ext>
          </a:extLst>
        </xdr:cNvPr>
        <xdr:cNvGrpSpPr/>
      </xdr:nvGrpSpPr>
      <xdr:grpSpPr>
        <a:xfrm>
          <a:off x="12103100" y="3327400"/>
          <a:ext cx="10731500" cy="5486400"/>
          <a:chOff x="13322300" y="5892800"/>
          <a:chExt cx="11595100" cy="5486400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05C3AD34-4F95-9C45-B80B-D3B558A8F438}"/>
              </a:ext>
            </a:extLst>
          </xdr:cNvPr>
          <xdr:cNvGraphicFramePr>
            <a:graphicFrameLocks/>
          </xdr:cNvGraphicFramePr>
        </xdr:nvGraphicFramePr>
        <xdr:xfrm>
          <a:off x="13322300" y="5892800"/>
          <a:ext cx="27432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6374DE66-D7CD-6545-BD0E-8D1AA5F4409F}"/>
              </a:ext>
            </a:extLst>
          </xdr:cNvPr>
          <xdr:cNvGraphicFramePr>
            <a:graphicFrameLocks/>
          </xdr:cNvGraphicFramePr>
        </xdr:nvGraphicFramePr>
        <xdr:xfrm>
          <a:off x="16272933" y="5892800"/>
          <a:ext cx="27432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D528856-1678-924D-98CE-5C4A643CC106}"/>
              </a:ext>
            </a:extLst>
          </xdr:cNvPr>
          <xdr:cNvGraphicFramePr>
            <a:graphicFrameLocks/>
          </xdr:cNvGraphicFramePr>
        </xdr:nvGraphicFramePr>
        <xdr:xfrm>
          <a:off x="19223566" y="5892800"/>
          <a:ext cx="27432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F3E2FFCE-4430-7E4D-892B-9A98C56AF64A}"/>
              </a:ext>
            </a:extLst>
          </xdr:cNvPr>
          <xdr:cNvGraphicFramePr>
            <a:graphicFrameLocks/>
          </xdr:cNvGraphicFramePr>
        </xdr:nvGraphicFramePr>
        <xdr:xfrm>
          <a:off x="22174200" y="5892800"/>
          <a:ext cx="27432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31750</xdr:rowOff>
    </xdr:from>
    <xdr:to>
      <xdr:col>25</xdr:col>
      <xdr:colOff>368300</xdr:colOff>
      <xdr:row>62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82087-634B-164B-AF25-31319DCC1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1409700</xdr:colOff>
      <xdr:row>9</xdr:row>
      <xdr:rowOff>0</xdr:rowOff>
    </xdr:from>
    <xdr:to>
      <xdr:col>9</xdr:col>
      <xdr:colOff>685800</xdr:colOff>
      <xdr:row>62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524F92-FFE4-7D45-9CC2-16D0CACA9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914400</xdr:colOff>
      <xdr:row>9</xdr:row>
      <xdr:rowOff>31750</xdr:rowOff>
    </xdr:from>
    <xdr:to>
      <xdr:col>23</xdr:col>
      <xdr:colOff>762000</xdr:colOff>
      <xdr:row>62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DDF44-80EC-0F59-3C16-27FFB1FAD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1409700</xdr:colOff>
      <xdr:row>9</xdr:row>
      <xdr:rowOff>0</xdr:rowOff>
    </xdr:from>
    <xdr:to>
      <xdr:col>8</xdr:col>
      <xdr:colOff>1511300</xdr:colOff>
      <xdr:row>62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F52AE6-BBF2-6941-9867-FEECFE370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8746-EF65-B94D-A3A6-D9F854046565}">
  <dimension ref="A1:U22"/>
  <sheetViews>
    <sheetView tabSelected="1" workbookViewId="0">
      <selection activeCell="X10" sqref="X10"/>
    </sheetView>
  </sheetViews>
  <sheetFormatPr baseColWidth="10" defaultRowHeight="19" x14ac:dyDescent="0.2"/>
  <cols>
    <col min="1" max="4" width="3.83203125" style="9" customWidth="1"/>
    <col min="5" max="10" width="20.83203125" style="9" customWidth="1"/>
    <col min="11" max="12" width="10.83203125" style="9"/>
    <col min="13" max="15" width="3.83203125" style="9" customWidth="1"/>
    <col min="16" max="20" width="20.83203125" style="9" customWidth="1"/>
    <col min="21" max="16384" width="10.83203125" style="9"/>
  </cols>
  <sheetData>
    <row r="1" spans="1:21" ht="30" customHeight="1" x14ac:dyDescent="0.2">
      <c r="A1" s="57" t="s">
        <v>42</v>
      </c>
      <c r="B1" s="58"/>
      <c r="C1" s="58"/>
      <c r="D1" s="58"/>
      <c r="E1" s="56"/>
      <c r="F1" s="42" t="s">
        <v>34</v>
      </c>
      <c r="G1" s="42" t="s">
        <v>33</v>
      </c>
      <c r="H1" s="42" t="s">
        <v>35</v>
      </c>
      <c r="I1" s="43" t="s">
        <v>41</v>
      </c>
      <c r="M1" s="57" t="s">
        <v>56</v>
      </c>
      <c r="N1" s="58"/>
      <c r="O1" s="58"/>
      <c r="P1" s="56"/>
      <c r="Q1" s="42" t="s">
        <v>34</v>
      </c>
      <c r="R1" s="42" t="s">
        <v>33</v>
      </c>
      <c r="S1" s="42" t="s">
        <v>35</v>
      </c>
      <c r="T1" s="43" t="s">
        <v>41</v>
      </c>
    </row>
    <row r="2" spans="1:21" ht="30" customHeight="1" x14ac:dyDescent="0.2">
      <c r="A2" s="55"/>
      <c r="B2" s="21"/>
      <c r="C2" s="21"/>
      <c r="D2" s="21"/>
      <c r="E2" s="22" t="s">
        <v>20</v>
      </c>
      <c r="F2" s="20">
        <f>(F11-F12)/1000</f>
        <v>188.505</v>
      </c>
      <c r="G2" s="17">
        <f t="shared" ref="G2:H2" si="0">(G11-G12)/1000</f>
        <v>1539.193</v>
      </c>
      <c r="H2" s="17">
        <f t="shared" si="0"/>
        <v>4316.2619999999997</v>
      </c>
      <c r="I2" s="27">
        <f t="shared" ref="I2" si="1">(I11-I12)/1000</f>
        <v>4995.7139999999999</v>
      </c>
      <c r="M2" s="61" t="s">
        <v>40</v>
      </c>
      <c r="N2" s="21"/>
      <c r="O2" s="21"/>
      <c r="P2" s="22" t="s">
        <v>20</v>
      </c>
      <c r="Q2" s="20">
        <f>(Q9-Q10)/1000</f>
        <v>258.56799999999998</v>
      </c>
      <c r="R2" s="20">
        <f t="shared" ref="R2:T2" si="2">(R9-R10)/1000</f>
        <v>4559.6779999999999</v>
      </c>
      <c r="S2" s="20">
        <f t="shared" si="2"/>
        <v>8795.9699999999993</v>
      </c>
      <c r="T2" s="20">
        <f t="shared" si="2"/>
        <v>11407.457</v>
      </c>
    </row>
    <row r="3" spans="1:21" ht="30" customHeight="1" x14ac:dyDescent="0.2">
      <c r="A3" s="28" t="s">
        <v>40</v>
      </c>
      <c r="B3" s="23"/>
      <c r="C3" s="24"/>
      <c r="D3" s="24"/>
      <c r="E3" s="25" t="s">
        <v>21</v>
      </c>
      <c r="F3" s="16">
        <f>(F12-F13-F14)/1000</f>
        <v>18.111000000000001</v>
      </c>
      <c r="G3" s="16">
        <f t="shared" ref="G3:H3" si="3">(G12-G13-G14)/1000</f>
        <v>17.454999999999998</v>
      </c>
      <c r="H3" s="16">
        <f t="shared" si="3"/>
        <v>17.045000000000002</v>
      </c>
      <c r="I3" s="29">
        <f t="shared" ref="I3" si="4">(I12-I13-I14)/1000</f>
        <v>16.754999999999999</v>
      </c>
      <c r="M3" s="28"/>
      <c r="N3" s="59" t="s">
        <v>39</v>
      </c>
      <c r="O3" s="24"/>
      <c r="P3" s="25" t="s">
        <v>21</v>
      </c>
      <c r="Q3" s="16">
        <f>(Q10-Q11-Q12)/1000</f>
        <v>71.915999999999997</v>
      </c>
      <c r="R3" s="16">
        <f t="shared" ref="R3:T3" si="5">(R10-R11-R12)/1000</f>
        <v>90.081999999999994</v>
      </c>
      <c r="S3" s="16">
        <f t="shared" si="5"/>
        <v>82.808000000000007</v>
      </c>
      <c r="T3" s="16">
        <f t="shared" si="5"/>
        <v>78.724000000000004</v>
      </c>
    </row>
    <row r="4" spans="1:21" ht="30" customHeight="1" x14ac:dyDescent="0.2">
      <c r="A4" s="28"/>
      <c r="B4" s="39" t="s">
        <v>39</v>
      </c>
      <c r="C4" s="44" t="s">
        <v>38</v>
      </c>
      <c r="D4" s="54"/>
      <c r="E4" s="38" t="s">
        <v>22</v>
      </c>
      <c r="F4" s="15">
        <f>F13/1000</f>
        <v>100.922</v>
      </c>
      <c r="G4" s="15">
        <f t="shared" ref="G4:H4" si="6">G13/1000</f>
        <v>103.88</v>
      </c>
      <c r="H4" s="15">
        <f t="shared" si="6"/>
        <v>103.629</v>
      </c>
      <c r="I4" s="30">
        <f t="shared" ref="I4" si="7">I13/1000</f>
        <v>103.709</v>
      </c>
      <c r="J4" s="9" t="s">
        <v>44</v>
      </c>
      <c r="M4" s="28"/>
      <c r="N4" s="26"/>
      <c r="O4" s="44" t="s">
        <v>38</v>
      </c>
      <c r="P4" s="38" t="s">
        <v>51</v>
      </c>
      <c r="Q4" s="15">
        <f>Q11/1000</f>
        <v>3.0000000000000001E-3</v>
      </c>
      <c r="R4" s="15">
        <f t="shared" ref="R4:T4" si="8">R11/1000</f>
        <v>2E-3</v>
      </c>
      <c r="S4" s="15">
        <f t="shared" si="8"/>
        <v>2E-3</v>
      </c>
      <c r="T4" s="15">
        <f t="shared" si="8"/>
        <v>3.0000000000000001E-3</v>
      </c>
      <c r="U4" s="9" t="s">
        <v>54</v>
      </c>
    </row>
    <row r="5" spans="1:21" ht="30" customHeight="1" x14ac:dyDescent="0.2">
      <c r="A5" s="28"/>
      <c r="B5" s="39"/>
      <c r="C5" s="45"/>
      <c r="D5" s="46"/>
      <c r="E5" s="37" t="s">
        <v>23</v>
      </c>
      <c r="F5" s="10">
        <f>(F14-F15)/1000</f>
        <v>151.18</v>
      </c>
      <c r="G5" s="10">
        <f t="shared" ref="G5:H5" si="9">(G14-G15)/1000</f>
        <v>161.465</v>
      </c>
      <c r="H5" s="10">
        <f t="shared" si="9"/>
        <v>172.553</v>
      </c>
      <c r="I5" s="31">
        <f t="shared" ref="I5" si="10">(I14-I15)/1000</f>
        <v>174.63900000000001</v>
      </c>
      <c r="M5" s="28"/>
      <c r="N5" s="26"/>
      <c r="O5" s="45"/>
      <c r="P5" s="37" t="s">
        <v>52</v>
      </c>
      <c r="Q5" s="10">
        <f>Q12/1000</f>
        <v>132.22800000000001</v>
      </c>
      <c r="R5" s="10">
        <f t="shared" ref="R5:T5" si="11">R12/1000</f>
        <v>483.22199999999998</v>
      </c>
      <c r="S5" s="10">
        <f t="shared" si="11"/>
        <v>832.16600000000005</v>
      </c>
      <c r="T5" s="10">
        <f t="shared" si="11"/>
        <v>1144.797</v>
      </c>
      <c r="U5" s="9" t="s">
        <v>55</v>
      </c>
    </row>
    <row r="6" spans="1:21" ht="30" customHeight="1" thickBot="1" x14ac:dyDescent="0.25">
      <c r="A6" s="28"/>
      <c r="B6" s="39"/>
      <c r="C6" s="45"/>
      <c r="D6" s="47"/>
      <c r="E6" s="18" t="s">
        <v>24</v>
      </c>
      <c r="F6" s="19">
        <f>(F15-F16)/1000</f>
        <v>5.5709999999999997</v>
      </c>
      <c r="G6" s="19">
        <f t="shared" ref="G6:H6" si="12">(G15-G16)/1000</f>
        <v>62.759</v>
      </c>
      <c r="H6" s="19">
        <f t="shared" si="12"/>
        <v>131.67699999999999</v>
      </c>
      <c r="I6" s="32">
        <f t="shared" ref="I6" si="13">(I15-I16)/1000</f>
        <v>149.59100000000001</v>
      </c>
      <c r="M6" s="34"/>
      <c r="N6" s="60"/>
      <c r="O6" s="49"/>
      <c r="P6" s="41" t="s">
        <v>53</v>
      </c>
      <c r="Q6" s="35">
        <f>Q5/Q13</f>
        <v>1.6050983248361253E-2</v>
      </c>
      <c r="R6" s="35">
        <f>R5/R13</f>
        <v>1.7756832137227018E-3</v>
      </c>
      <c r="S6" s="35">
        <f>S5/S13</f>
        <v>1.5575553505017062E-3</v>
      </c>
      <c r="T6" s="35">
        <f>T5/T13</f>
        <v>1.4373782092490658E-3</v>
      </c>
    </row>
    <row r="7" spans="1:21" ht="30" customHeight="1" x14ac:dyDescent="0.2">
      <c r="A7" s="28"/>
      <c r="B7" s="39"/>
      <c r="C7" s="45"/>
      <c r="D7" s="48"/>
      <c r="E7" s="13" t="s">
        <v>25</v>
      </c>
      <c r="F7" s="14">
        <f>F16/1000</f>
        <v>19.068999999999999</v>
      </c>
      <c r="G7" s="14">
        <f t="shared" ref="G7:H7" si="14">G16/1000</f>
        <v>626.89499999999998</v>
      </c>
      <c r="H7" s="14">
        <f t="shared" si="14"/>
        <v>1238.579</v>
      </c>
      <c r="I7" s="33">
        <f t="shared" ref="I7" si="15">I16/1000</f>
        <v>1819.8589999999999</v>
      </c>
      <c r="J7" s="9" t="s">
        <v>45</v>
      </c>
    </row>
    <row r="8" spans="1:21" ht="30" customHeight="1" thickBot="1" x14ac:dyDescent="0.25">
      <c r="A8" s="34"/>
      <c r="B8" s="40"/>
      <c r="C8" s="49"/>
      <c r="D8" s="50"/>
      <c r="E8" s="41" t="s">
        <v>43</v>
      </c>
      <c r="F8" s="35">
        <f>F7/F18</f>
        <v>2.3147608642874484E-3</v>
      </c>
      <c r="G8" s="35">
        <f t="shared" ref="G8:I8" si="16">G7/G18</f>
        <v>2.303634619836624E-3</v>
      </c>
      <c r="H8" s="35">
        <f t="shared" si="16"/>
        <v>2.318233800070001E-3</v>
      </c>
      <c r="I8" s="36">
        <f t="shared" si="16"/>
        <v>2.2849690124151232E-3</v>
      </c>
      <c r="P8" s="11" t="s">
        <v>26</v>
      </c>
      <c r="Q8" s="11"/>
      <c r="R8" s="11"/>
      <c r="S8" s="11"/>
      <c r="T8" s="11"/>
    </row>
    <row r="9" spans="1:21" ht="30" customHeight="1" x14ac:dyDescent="0.2">
      <c r="I9" s="51"/>
      <c r="J9" s="52"/>
      <c r="P9" s="9" t="s">
        <v>46</v>
      </c>
      <c r="Q9" s="53">
        <v>462715</v>
      </c>
      <c r="R9" s="53">
        <v>5132984</v>
      </c>
      <c r="S9" s="53">
        <v>9710946</v>
      </c>
      <c r="T9" s="53">
        <v>12630981</v>
      </c>
    </row>
    <row r="10" spans="1:21" ht="30" customHeight="1" x14ac:dyDescent="0.2">
      <c r="E10" s="11" t="s">
        <v>26</v>
      </c>
      <c r="F10" s="11"/>
      <c r="G10" s="11"/>
      <c r="H10" s="11"/>
      <c r="I10" s="11"/>
      <c r="P10" s="9" t="s">
        <v>47</v>
      </c>
      <c r="Q10" s="53">
        <v>204147</v>
      </c>
      <c r="R10" s="53">
        <v>573306</v>
      </c>
      <c r="S10" s="53">
        <v>914976</v>
      </c>
      <c r="T10" s="53">
        <v>1223524</v>
      </c>
    </row>
    <row r="11" spans="1:21" ht="30" customHeight="1" x14ac:dyDescent="0.2">
      <c r="E11" s="9" t="s">
        <v>27</v>
      </c>
      <c r="F11" s="53">
        <v>483358</v>
      </c>
      <c r="G11" s="53">
        <v>2511647</v>
      </c>
      <c r="H11" s="53">
        <v>5979745</v>
      </c>
      <c r="I11" s="53">
        <v>7260267</v>
      </c>
      <c r="P11" s="9" t="s">
        <v>48</v>
      </c>
      <c r="Q11" s="53">
        <v>3</v>
      </c>
      <c r="R11" s="53">
        <v>2</v>
      </c>
      <c r="S11" s="53">
        <v>2</v>
      </c>
      <c r="T11" s="53">
        <v>3</v>
      </c>
    </row>
    <row r="12" spans="1:21" ht="30" customHeight="1" x14ac:dyDescent="0.2">
      <c r="E12" s="9" t="s">
        <v>28</v>
      </c>
      <c r="F12" s="53">
        <v>294853</v>
      </c>
      <c r="G12" s="53">
        <v>972454</v>
      </c>
      <c r="H12" s="53">
        <v>1663483</v>
      </c>
      <c r="I12" s="53">
        <v>2264553</v>
      </c>
      <c r="P12" s="9" t="s">
        <v>49</v>
      </c>
      <c r="Q12" s="53">
        <v>132228</v>
      </c>
      <c r="R12" s="53">
        <v>483222</v>
      </c>
      <c r="S12" s="53">
        <v>832166</v>
      </c>
      <c r="T12" s="53">
        <v>1144797</v>
      </c>
    </row>
    <row r="13" spans="1:21" ht="30" customHeight="1" x14ac:dyDescent="0.2">
      <c r="E13" s="9" t="s">
        <v>29</v>
      </c>
      <c r="F13" s="53">
        <v>100922</v>
      </c>
      <c r="G13" s="53">
        <v>103880</v>
      </c>
      <c r="H13" s="53">
        <v>103629</v>
      </c>
      <c r="I13" s="53">
        <v>103709</v>
      </c>
      <c r="P13" s="9" t="s">
        <v>50</v>
      </c>
      <c r="Q13" s="53">
        <v>8238</v>
      </c>
      <c r="R13" s="53">
        <v>272133</v>
      </c>
      <c r="S13" s="53">
        <v>534277</v>
      </c>
      <c r="T13" s="53">
        <v>796448</v>
      </c>
    </row>
    <row r="14" spans="1:21" ht="30" customHeight="1" x14ac:dyDescent="0.2">
      <c r="E14" s="9" t="s">
        <v>30</v>
      </c>
      <c r="F14" s="53">
        <v>175820</v>
      </c>
      <c r="G14" s="53">
        <v>851119</v>
      </c>
      <c r="H14" s="53">
        <v>1542809</v>
      </c>
      <c r="I14" s="53">
        <v>2144089</v>
      </c>
    </row>
    <row r="15" spans="1:21" ht="30" customHeight="1" x14ac:dyDescent="0.2">
      <c r="E15" s="9" t="s">
        <v>31</v>
      </c>
      <c r="F15" s="53">
        <v>24640</v>
      </c>
      <c r="G15" s="53">
        <v>689654</v>
      </c>
      <c r="H15" s="53">
        <v>1370256</v>
      </c>
      <c r="I15" s="53">
        <v>1969450</v>
      </c>
    </row>
    <row r="16" spans="1:21" ht="30" customHeight="1" x14ac:dyDescent="0.2">
      <c r="E16" s="9" t="s">
        <v>32</v>
      </c>
      <c r="F16" s="53">
        <v>19069</v>
      </c>
      <c r="G16" s="53">
        <v>626895</v>
      </c>
      <c r="H16" s="53">
        <v>1238579</v>
      </c>
      <c r="I16" s="53">
        <v>1819859</v>
      </c>
    </row>
    <row r="17" spans="5:9" ht="30" customHeight="1" x14ac:dyDescent="0.2">
      <c r="E17" s="9" t="s">
        <v>36</v>
      </c>
      <c r="F17" s="53">
        <v>8413</v>
      </c>
      <c r="G17" s="53">
        <v>272463</v>
      </c>
      <c r="H17" s="53">
        <v>534609</v>
      </c>
      <c r="I17" s="53">
        <v>796781</v>
      </c>
    </row>
    <row r="18" spans="5:9" ht="30" customHeight="1" x14ac:dyDescent="0.2">
      <c r="E18" s="9" t="s">
        <v>37</v>
      </c>
      <c r="F18" s="53">
        <v>8238</v>
      </c>
      <c r="G18" s="53">
        <v>272133</v>
      </c>
      <c r="H18" s="53">
        <v>534277</v>
      </c>
      <c r="I18" s="53">
        <v>796448</v>
      </c>
    </row>
    <row r="19" spans="5:9" ht="30" customHeight="1" x14ac:dyDescent="0.2"/>
    <row r="20" spans="5:9" ht="30" customHeight="1" x14ac:dyDescent="0.2"/>
    <row r="21" spans="5:9" ht="30" customHeight="1" x14ac:dyDescent="0.2"/>
    <row r="22" spans="5:9" ht="30" customHeight="1" x14ac:dyDescent="0.2"/>
  </sheetData>
  <mergeCells count="10">
    <mergeCell ref="P8:T8"/>
    <mergeCell ref="M1:O1"/>
    <mergeCell ref="O4:O6"/>
    <mergeCell ref="N3:N6"/>
    <mergeCell ref="M2:M6"/>
    <mergeCell ref="C4:C8"/>
    <mergeCell ref="B4:B8"/>
    <mergeCell ref="A3:A8"/>
    <mergeCell ref="E10:I10"/>
    <mergeCell ref="A1:D1"/>
  </mergeCells>
  <phoneticPr fontId="3" type="noConversion"/>
  <pageMargins left="0.7" right="0.7" top="0.75" bottom="0.75" header="0.3" footer="0.3"/>
  <ignoredErrors>
    <ignoredError sqref="F4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E695-0A37-4944-9262-B53A47FF3098}">
  <dimension ref="A1:L10"/>
  <sheetViews>
    <sheetView workbookViewId="0">
      <selection activeCell="E8" sqref="E8"/>
    </sheetView>
  </sheetViews>
  <sheetFormatPr baseColWidth="10" defaultRowHeight="16" x14ac:dyDescent="0.2"/>
  <cols>
    <col min="1" max="8" width="20.83203125" customWidth="1"/>
    <col min="9" max="10" width="10.83203125" customWidth="1"/>
    <col min="11" max="12" width="11.1640625" bestFit="1" customWidth="1"/>
  </cols>
  <sheetData>
    <row r="1" spans="1:12" ht="30" customHeight="1" x14ac:dyDescent="0.2">
      <c r="A1" s="5" t="s">
        <v>7</v>
      </c>
      <c r="B1" s="8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3" t="s">
        <v>6</v>
      </c>
      <c r="I1" s="12" t="s">
        <v>19</v>
      </c>
      <c r="J1" s="12"/>
      <c r="K1" s="12"/>
      <c r="L1" s="12"/>
    </row>
    <row r="2" spans="1:12" ht="30" customHeight="1" x14ac:dyDescent="0.2">
      <c r="A2" s="6">
        <v>0</v>
      </c>
      <c r="B2" s="7">
        <f t="shared" ref="B2:B8" si="0">H2/1024</f>
        <v>40.919921875</v>
      </c>
      <c r="C2" s="1">
        <v>513.08699999999999</v>
      </c>
      <c r="D2" s="1">
        <v>523.06600000000003</v>
      </c>
      <c r="E2" s="1">
        <v>1134.402</v>
      </c>
      <c r="F2" s="1">
        <v>5.4989999999999997</v>
      </c>
      <c r="G2" s="1">
        <v>6.9550000000000001</v>
      </c>
      <c r="H2" s="4">
        <f>AVERAGE(I2:L2)</f>
        <v>41902</v>
      </c>
      <c r="I2" s="2">
        <v>46360</v>
      </c>
      <c r="J2" s="2">
        <v>46360</v>
      </c>
      <c r="K2" s="2">
        <v>37432</v>
      </c>
      <c r="L2" s="2">
        <v>37456</v>
      </c>
    </row>
    <row r="3" spans="1:12" ht="30" customHeight="1" x14ac:dyDescent="0.2">
      <c r="A3" s="6">
        <v>64</v>
      </c>
      <c r="B3" s="7">
        <f t="shared" si="0"/>
        <v>114.7509765625</v>
      </c>
      <c r="C3" s="1">
        <v>733.81700000000001</v>
      </c>
      <c r="D3" s="1">
        <v>1025.3240000000001</v>
      </c>
      <c r="E3" s="1">
        <v>1631.5730000000001</v>
      </c>
      <c r="F3" s="1">
        <v>5.7539999999999996</v>
      </c>
      <c r="G3" s="1">
        <v>8.2739999999999991</v>
      </c>
      <c r="H3" s="4">
        <f t="shared" ref="H3:H8" si="1">AVERAGE(I3:L3)</f>
        <v>117505</v>
      </c>
      <c r="I3" s="2">
        <v>125092</v>
      </c>
      <c r="J3" s="2">
        <v>125540</v>
      </c>
      <c r="K3" s="2">
        <v>109272</v>
      </c>
      <c r="L3" s="2">
        <v>110116</v>
      </c>
    </row>
    <row r="4" spans="1:12" ht="30" customHeight="1" x14ac:dyDescent="0.2">
      <c r="A4" s="6">
        <v>128</v>
      </c>
      <c r="B4" s="7">
        <f t="shared" si="0"/>
        <v>174.9248046875</v>
      </c>
      <c r="C4" s="1">
        <v>907.32100000000003</v>
      </c>
      <c r="D4" s="1">
        <v>1391.095</v>
      </c>
      <c r="E4" s="1">
        <v>2040.479</v>
      </c>
      <c r="F4" s="1">
        <v>5.101</v>
      </c>
      <c r="G4" s="1">
        <v>8.3260000000000005</v>
      </c>
      <c r="H4" s="4">
        <f t="shared" si="1"/>
        <v>179123</v>
      </c>
      <c r="I4" s="2">
        <v>191052</v>
      </c>
      <c r="J4" s="2">
        <v>175464</v>
      </c>
      <c r="K4" s="2">
        <v>174568</v>
      </c>
      <c r="L4" s="2">
        <v>175408</v>
      </c>
    </row>
    <row r="5" spans="1:12" ht="30" customHeight="1" x14ac:dyDescent="0.2">
      <c r="A5" s="6">
        <v>256</v>
      </c>
      <c r="B5" s="7">
        <f t="shared" si="0"/>
        <v>306.873046875</v>
      </c>
      <c r="C5" s="1">
        <v>1260.5640000000001</v>
      </c>
      <c r="D5" s="1">
        <v>2107.569</v>
      </c>
      <c r="E5" s="1">
        <v>2715.9830000000002</v>
      </c>
      <c r="F5" s="1">
        <v>5.4210000000000003</v>
      </c>
      <c r="G5" s="1">
        <v>8.3030000000000008</v>
      </c>
      <c r="H5" s="4">
        <f t="shared" si="1"/>
        <v>314238</v>
      </c>
      <c r="I5" s="2">
        <v>322008</v>
      </c>
      <c r="J5" s="2">
        <v>322008</v>
      </c>
      <c r="K5" s="2">
        <v>306724</v>
      </c>
      <c r="L5" s="2">
        <v>306212</v>
      </c>
    </row>
    <row r="6" spans="1:12" ht="30" customHeight="1" x14ac:dyDescent="0.2">
      <c r="A6" s="6">
        <v>512</v>
      </c>
      <c r="B6" s="7">
        <f t="shared" si="0"/>
        <v>562.923828125</v>
      </c>
      <c r="C6" s="1">
        <v>1731.1210000000001</v>
      </c>
      <c r="D6" s="1">
        <v>3556.857</v>
      </c>
      <c r="E6" s="1">
        <v>4211.8890000000001</v>
      </c>
      <c r="F6" s="1">
        <v>5.8689999999999998</v>
      </c>
      <c r="G6" s="1">
        <v>8.3350000000000009</v>
      </c>
      <c r="H6" s="4">
        <f t="shared" si="1"/>
        <v>576434</v>
      </c>
      <c r="I6" s="2">
        <v>583388</v>
      </c>
      <c r="J6" s="2">
        <v>583836</v>
      </c>
      <c r="K6" s="2">
        <v>569256</v>
      </c>
      <c r="L6" s="2">
        <v>569256</v>
      </c>
    </row>
    <row r="7" spans="1:12" ht="30" customHeight="1" x14ac:dyDescent="0.2">
      <c r="A7" s="6">
        <v>1024</v>
      </c>
      <c r="B7" s="7">
        <f t="shared" si="0"/>
        <v>1074.92578125</v>
      </c>
      <c r="C7" s="1">
        <v>2897.3240000000001</v>
      </c>
      <c r="D7" s="1">
        <v>6491.76</v>
      </c>
      <c r="E7" s="1">
        <v>7143.8739999999998</v>
      </c>
      <c r="F7" s="1">
        <v>5.04</v>
      </c>
      <c r="G7" s="1">
        <v>8.4320000000000004</v>
      </c>
      <c r="H7" s="4">
        <f t="shared" si="1"/>
        <v>1100724</v>
      </c>
      <c r="I7" s="2">
        <v>1108440</v>
      </c>
      <c r="J7" s="2">
        <v>1108440</v>
      </c>
      <c r="K7" s="2">
        <v>1092968</v>
      </c>
      <c r="L7" s="2">
        <v>1093048</v>
      </c>
    </row>
    <row r="8" spans="1:12" ht="30" customHeight="1" x14ac:dyDescent="0.2">
      <c r="A8" s="6">
        <v>2048</v>
      </c>
      <c r="B8" s="7">
        <f t="shared" si="0"/>
        <v>2095.08203125</v>
      </c>
      <c r="C8" s="1">
        <v>4972.2730000000001</v>
      </c>
      <c r="D8" s="1">
        <v>12213.09</v>
      </c>
      <c r="E8" s="1">
        <v>12852.317999999999</v>
      </c>
      <c r="F8" s="1">
        <v>5.92</v>
      </c>
      <c r="G8" s="1">
        <v>8.5280000000000005</v>
      </c>
      <c r="H8" s="4">
        <f t="shared" si="1"/>
        <v>2145364</v>
      </c>
      <c r="I8" s="2">
        <v>2156704</v>
      </c>
      <c r="J8" s="2">
        <v>2141288</v>
      </c>
      <c r="K8" s="2">
        <v>2141728</v>
      </c>
      <c r="L8" s="2">
        <v>2141736</v>
      </c>
    </row>
    <row r="9" spans="1:12" ht="30" customHeight="1" x14ac:dyDescent="0.2">
      <c r="A9" s="2"/>
      <c r="B9" s="2"/>
      <c r="C9" s="1"/>
      <c r="D9" s="1"/>
      <c r="H9" s="2"/>
    </row>
    <row r="10" spans="1:12" ht="30" customHeight="1" x14ac:dyDescent="0.2">
      <c r="A10" s="2"/>
      <c r="B10" s="2"/>
      <c r="C10" s="1"/>
      <c r="D10" s="1"/>
      <c r="H10" s="2"/>
    </row>
  </sheetData>
  <mergeCells count="1">
    <mergeCell ref="I1: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FC72-B432-1B4C-B65F-277D1C452C6D}">
  <dimension ref="A1:L10"/>
  <sheetViews>
    <sheetView workbookViewId="0">
      <selection activeCell="Y7" sqref="Y7"/>
    </sheetView>
  </sheetViews>
  <sheetFormatPr baseColWidth="10" defaultRowHeight="16" x14ac:dyDescent="0.2"/>
  <cols>
    <col min="1" max="10" width="20.83203125" customWidth="1"/>
    <col min="12" max="12" width="50.83203125" customWidth="1"/>
  </cols>
  <sheetData>
    <row r="1" spans="1:12" ht="30" customHeight="1" x14ac:dyDescent="0.2">
      <c r="A1" s="5" t="s">
        <v>7</v>
      </c>
      <c r="B1" s="5" t="s">
        <v>9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s="3" t="s">
        <v>5</v>
      </c>
      <c r="J1" s="3" t="s">
        <v>6</v>
      </c>
      <c r="K1" t="s">
        <v>10</v>
      </c>
      <c r="L1" t="s">
        <v>11</v>
      </c>
    </row>
    <row r="2" spans="1:12" ht="30" customHeight="1" x14ac:dyDescent="0.2">
      <c r="A2" s="6">
        <v>0</v>
      </c>
      <c r="B2" s="6">
        <f>I2/1024</f>
        <v>105.7763671875</v>
      </c>
      <c r="C2" s="2">
        <f>J2/1024</f>
        <v>42.765625</v>
      </c>
      <c r="D2" s="1">
        <v>549.63400000000001</v>
      </c>
      <c r="E2" s="1">
        <v>708.18299999999999</v>
      </c>
      <c r="F2" s="1">
        <v>1314.886</v>
      </c>
      <c r="G2" s="1">
        <v>3.427</v>
      </c>
      <c r="H2" s="1">
        <v>6.9390000000000001</v>
      </c>
      <c r="I2" s="4">
        <v>108315</v>
      </c>
      <c r="J2" s="4">
        <v>43792</v>
      </c>
      <c r="K2" s="1">
        <v>-5000</v>
      </c>
      <c r="L2" t="s">
        <v>12</v>
      </c>
    </row>
    <row r="3" spans="1:12" ht="30" customHeight="1" x14ac:dyDescent="0.2">
      <c r="A3" s="6">
        <v>64</v>
      </c>
      <c r="B3" s="6">
        <f t="shared" ref="B3:B8" si="0">I3/1024</f>
        <v>293.4169921875</v>
      </c>
      <c r="C3" s="2">
        <f t="shared" ref="C3:C8" si="1">J3/1024</f>
        <v>115.3974609375</v>
      </c>
      <c r="D3" s="1">
        <v>825.74300000000005</v>
      </c>
      <c r="E3" s="1">
        <v>1040.9069999999999</v>
      </c>
      <c r="F3" s="1">
        <v>1716.652</v>
      </c>
      <c r="G3" s="1">
        <v>3.4849999999999999</v>
      </c>
      <c r="H3" s="1">
        <v>8.26</v>
      </c>
      <c r="I3" s="4">
        <v>300459</v>
      </c>
      <c r="J3" s="4">
        <v>118167</v>
      </c>
      <c r="K3" s="1">
        <v>-50</v>
      </c>
      <c r="L3" t="s">
        <v>13</v>
      </c>
    </row>
    <row r="4" spans="1:12" ht="30" customHeight="1" x14ac:dyDescent="0.2">
      <c r="A4" s="6">
        <v>128</v>
      </c>
      <c r="B4" s="6">
        <f t="shared" si="0"/>
        <v>342.962890625</v>
      </c>
      <c r="C4" s="2">
        <f t="shared" si="1"/>
        <v>182.265625</v>
      </c>
      <c r="D4" s="1">
        <v>1012.967</v>
      </c>
      <c r="E4" s="1">
        <v>1348.711</v>
      </c>
      <c r="F4" s="1">
        <v>1985.335</v>
      </c>
      <c r="G4" s="1">
        <v>3.5630000000000002</v>
      </c>
      <c r="H4" s="1">
        <v>8.2739999999999991</v>
      </c>
      <c r="I4" s="4">
        <v>351194</v>
      </c>
      <c r="J4" s="4">
        <v>186640</v>
      </c>
      <c r="K4" s="1">
        <v>-50</v>
      </c>
      <c r="L4" t="s">
        <v>14</v>
      </c>
    </row>
    <row r="5" spans="1:12" ht="30" customHeight="1" x14ac:dyDescent="0.2">
      <c r="A5" s="6">
        <v>256</v>
      </c>
      <c r="B5" s="6">
        <f t="shared" si="0"/>
        <v>485.4169921875</v>
      </c>
      <c r="C5" s="2">
        <f t="shared" si="1"/>
        <v>304.212890625</v>
      </c>
      <c r="D5" s="1">
        <v>1852.9179999999999</v>
      </c>
      <c r="E5" s="1">
        <v>1846.9259999999999</v>
      </c>
      <c r="F5" s="1">
        <v>2450.377</v>
      </c>
      <c r="G5" s="1">
        <v>3.6739999999999999</v>
      </c>
      <c r="H5" s="1">
        <v>8.3059999999999992</v>
      </c>
      <c r="I5" s="4">
        <v>497067</v>
      </c>
      <c r="J5" s="4">
        <v>311514</v>
      </c>
      <c r="K5" s="1">
        <v>-50</v>
      </c>
      <c r="L5" t="s">
        <v>15</v>
      </c>
    </row>
    <row r="6" spans="1:12" ht="30" customHeight="1" x14ac:dyDescent="0.2">
      <c r="A6" s="6">
        <v>512</v>
      </c>
      <c r="B6" s="6">
        <f t="shared" si="0"/>
        <v>741.4169921875</v>
      </c>
      <c r="C6" s="2">
        <f t="shared" si="1"/>
        <v>560.228515625</v>
      </c>
      <c r="D6" s="1">
        <v>3419.1759999999999</v>
      </c>
      <c r="E6" s="1">
        <v>2844.817</v>
      </c>
      <c r="F6" s="1">
        <v>3648.248</v>
      </c>
      <c r="G6" s="1">
        <v>3.6850000000000001</v>
      </c>
      <c r="H6" s="1">
        <v>8.3460000000000001</v>
      </c>
      <c r="I6" s="4">
        <v>759211</v>
      </c>
      <c r="J6" s="4">
        <v>573674</v>
      </c>
      <c r="K6" s="1">
        <v>-50</v>
      </c>
      <c r="L6" t="s">
        <v>16</v>
      </c>
    </row>
    <row r="7" spans="1:12" ht="30" customHeight="1" x14ac:dyDescent="0.2">
      <c r="A7" s="6">
        <v>1024</v>
      </c>
      <c r="B7" s="6">
        <f t="shared" si="0"/>
        <v>1253.4169921875</v>
      </c>
      <c r="C7" s="2">
        <f t="shared" si="1"/>
        <v>1072.216796875</v>
      </c>
      <c r="D7" s="1">
        <v>7490.2830000000004</v>
      </c>
      <c r="E7" s="1">
        <v>5688.47</v>
      </c>
      <c r="F7" s="1">
        <v>6492.9489999999996</v>
      </c>
      <c r="G7" s="1">
        <v>3.4049999999999998</v>
      </c>
      <c r="H7" s="1">
        <v>8.4499999999999993</v>
      </c>
      <c r="I7" s="4">
        <v>1283499</v>
      </c>
      <c r="J7" s="4">
        <v>1097950</v>
      </c>
      <c r="K7" s="1">
        <v>-50</v>
      </c>
      <c r="L7" t="s">
        <v>17</v>
      </c>
    </row>
    <row r="8" spans="1:12" ht="30" customHeight="1" x14ac:dyDescent="0.2">
      <c r="A8" s="6">
        <v>2048</v>
      </c>
      <c r="B8" s="6">
        <f t="shared" si="0"/>
        <v>2248.509765625</v>
      </c>
      <c r="C8" s="2">
        <f t="shared" si="1"/>
        <v>2098.388671875</v>
      </c>
      <c r="D8" s="1">
        <v>27071.938999999998</v>
      </c>
      <c r="E8" s="1">
        <v>15711.916999999999</v>
      </c>
      <c r="F8" s="1">
        <v>16150.834000000001</v>
      </c>
      <c r="G8" s="1">
        <v>3.9159999999999999</v>
      </c>
      <c r="H8" s="1">
        <v>8.6370000000000005</v>
      </c>
      <c r="I8" s="4">
        <v>2302474</v>
      </c>
      <c r="J8" s="4">
        <v>2148750</v>
      </c>
      <c r="K8" s="1">
        <v>-50</v>
      </c>
      <c r="L8" t="s">
        <v>18</v>
      </c>
    </row>
    <row r="9" spans="1:12" ht="30" customHeight="1" x14ac:dyDescent="0.2">
      <c r="A9" s="2"/>
      <c r="B9" s="2"/>
      <c r="C9" s="2"/>
      <c r="D9" s="1"/>
      <c r="E9" s="1"/>
      <c r="I9" s="2"/>
      <c r="J9" s="2"/>
    </row>
    <row r="10" spans="1:12" ht="30" customHeight="1" x14ac:dyDescent="0.2">
      <c r="A10" s="2"/>
      <c r="B10" s="2"/>
      <c r="C10" s="2"/>
      <c r="D10" s="1"/>
      <c r="E10" s="1"/>
      <c r="I10" s="2"/>
      <c r="J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PrintStats</vt:lpstr>
      <vt:lpstr>c6620</vt:lpstr>
      <vt:lpstr>brsys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ax2155</dc:creator>
  <cp:lastModifiedBy>ax2155</cp:lastModifiedBy>
  <dcterms:created xsi:type="dcterms:W3CDTF">2025-07-11T19:35:11Z</dcterms:created>
  <dcterms:modified xsi:type="dcterms:W3CDTF">2025-07-17T01:39:26Z</dcterms:modified>
</cp:coreProperties>
</file>