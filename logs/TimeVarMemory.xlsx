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/Documents/Projects/StateFork/logs/"/>
    </mc:Choice>
  </mc:AlternateContent>
  <xr:revisionPtr revIDLastSave="0" documentId="13_ncr:1_{6D8BDB64-5FB9-1449-8591-F6421BEB91C2}" xr6:coauthVersionLast="47" xr6:coauthVersionMax="47" xr10:uidLastSave="{00000000-0000-0000-0000-000000000000}"/>
  <bookViews>
    <workbookView xWindow="820" yWindow="2380" windowWidth="29600" windowHeight="19540" xr2:uid="{58F692CA-A60A-8148-8992-C00D771DA53A}"/>
  </bookViews>
  <sheets>
    <sheet name="vM vF 0Compress" sheetId="8" r:id="rId1"/>
    <sheet name="0M vF 0Compress" sheetId="7" r:id="rId2"/>
    <sheet name="vM 0F 0Compress" sheetId="6" r:id="rId3"/>
    <sheet name="0M 0F vCompress" sheetId="4" r:id="rId4"/>
    <sheet name="PrintStats" sheetId="3" r:id="rId5"/>
    <sheet name="c6620" sheetId="2" r:id="rId6"/>
    <sheet name="brsys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8" l="1"/>
  <c r="N9" i="8"/>
  <c r="M9" i="8"/>
  <c r="G9" i="8"/>
  <c r="F9" i="8"/>
  <c r="E9" i="8"/>
  <c r="O8" i="8"/>
  <c r="N8" i="8"/>
  <c r="M8" i="8"/>
  <c r="G8" i="8"/>
  <c r="F8" i="8"/>
  <c r="E8" i="8"/>
  <c r="O7" i="8"/>
  <c r="N7" i="8"/>
  <c r="M7" i="8"/>
  <c r="G7" i="8"/>
  <c r="F7" i="8"/>
  <c r="E7" i="8"/>
  <c r="O6" i="8"/>
  <c r="N6" i="8"/>
  <c r="M6" i="8"/>
  <c r="G6" i="8"/>
  <c r="F6" i="8"/>
  <c r="E6" i="8"/>
  <c r="O5" i="8"/>
  <c r="N5" i="8"/>
  <c r="M5" i="8"/>
  <c r="G5" i="8"/>
  <c r="F5" i="8"/>
  <c r="E5" i="8"/>
  <c r="O4" i="8"/>
  <c r="N4" i="8"/>
  <c r="M4" i="8"/>
  <c r="G4" i="8"/>
  <c r="F4" i="8"/>
  <c r="E4" i="8"/>
  <c r="O9" i="7"/>
  <c r="N9" i="7"/>
  <c r="M9" i="7"/>
  <c r="G9" i="7"/>
  <c r="F9" i="7"/>
  <c r="E9" i="7"/>
  <c r="N8" i="7"/>
  <c r="M8" i="7"/>
  <c r="G8" i="7"/>
  <c r="E8" i="7"/>
  <c r="O7" i="7"/>
  <c r="O8" i="7" s="1"/>
  <c r="N7" i="7"/>
  <c r="M7" i="7"/>
  <c r="G7" i="7"/>
  <c r="F7" i="7"/>
  <c r="F8" i="7" s="1"/>
  <c r="E7" i="7"/>
  <c r="O6" i="7"/>
  <c r="N6" i="7"/>
  <c r="M6" i="7"/>
  <c r="G6" i="7"/>
  <c r="F6" i="7"/>
  <c r="E6" i="7"/>
  <c r="O5" i="7"/>
  <c r="N5" i="7"/>
  <c r="M5" i="7"/>
  <c r="G5" i="7"/>
  <c r="F5" i="7"/>
  <c r="E5" i="7"/>
  <c r="O4" i="7"/>
  <c r="N4" i="7"/>
  <c r="M4" i="7"/>
  <c r="G4" i="7"/>
  <c r="F4" i="7"/>
  <c r="E4" i="7"/>
  <c r="O9" i="6"/>
  <c r="N9" i="6"/>
  <c r="M9" i="6"/>
  <c r="G9" i="6"/>
  <c r="F9" i="6"/>
  <c r="E9" i="6"/>
  <c r="O8" i="6"/>
  <c r="N8" i="6"/>
  <c r="M8" i="6"/>
  <c r="G8" i="6"/>
  <c r="F8" i="6"/>
  <c r="E8" i="6"/>
  <c r="O7" i="6"/>
  <c r="N7" i="6"/>
  <c r="M7" i="6"/>
  <c r="G7" i="6"/>
  <c r="F7" i="6"/>
  <c r="E7" i="6"/>
  <c r="O6" i="6"/>
  <c r="N6" i="6"/>
  <c r="M6" i="6"/>
  <c r="G6" i="6"/>
  <c r="F6" i="6"/>
  <c r="E6" i="6"/>
  <c r="O5" i="6"/>
  <c r="N5" i="6"/>
  <c r="M5" i="6"/>
  <c r="G5" i="6"/>
  <c r="F5" i="6"/>
  <c r="E5" i="6"/>
  <c r="O4" i="6"/>
  <c r="N4" i="6"/>
  <c r="M4" i="6"/>
  <c r="G4" i="6"/>
  <c r="F4" i="6"/>
  <c r="E4" i="6"/>
  <c r="O9" i="4"/>
  <c r="N9" i="4"/>
  <c r="M9" i="4"/>
  <c r="F9" i="4"/>
  <c r="G9" i="4"/>
  <c r="E9" i="4"/>
  <c r="G7" i="4"/>
  <c r="G8" i="4"/>
  <c r="F7" i="4"/>
  <c r="F8" i="4" s="1"/>
  <c r="E7" i="4"/>
  <c r="E8" i="4" s="1"/>
  <c r="E5" i="4"/>
  <c r="O7" i="4"/>
  <c r="O8" i="4" s="1"/>
  <c r="N7" i="4"/>
  <c r="N8" i="4" s="1"/>
  <c r="M7" i="4"/>
  <c r="M8" i="4" s="1"/>
  <c r="O6" i="4"/>
  <c r="N6" i="4"/>
  <c r="M6" i="4"/>
  <c r="G6" i="4"/>
  <c r="F6" i="4"/>
  <c r="E6" i="4"/>
  <c r="O5" i="4"/>
  <c r="N5" i="4"/>
  <c r="M5" i="4"/>
  <c r="G5" i="4"/>
  <c r="F5" i="4"/>
  <c r="O4" i="4"/>
  <c r="N4" i="4"/>
  <c r="M4" i="4"/>
  <c r="G4" i="4"/>
  <c r="F4" i="4"/>
  <c r="E4" i="4"/>
  <c r="P4" i="3"/>
  <c r="Q4" i="3"/>
  <c r="R4" i="3"/>
  <c r="P5" i="3"/>
  <c r="Q5" i="3"/>
  <c r="R5" i="3"/>
  <c r="P6" i="3"/>
  <c r="Q6" i="3"/>
  <c r="R6" i="3"/>
  <c r="P7" i="3"/>
  <c r="P8" i="3" s="1"/>
  <c r="Q7" i="3"/>
  <c r="Q8" i="3" s="1"/>
  <c r="R7" i="3"/>
  <c r="R8" i="3" s="1"/>
  <c r="O7" i="3"/>
  <c r="O8" i="3" s="1"/>
  <c r="O6" i="3"/>
  <c r="O5" i="3"/>
  <c r="O4" i="3"/>
  <c r="I4" i="3"/>
  <c r="I5" i="3"/>
  <c r="I6" i="3"/>
  <c r="I7" i="3"/>
  <c r="I8" i="3"/>
  <c r="I9" i="3"/>
  <c r="I10" i="3" s="1"/>
  <c r="F5" i="3"/>
  <c r="G4" i="3"/>
  <c r="H4" i="3"/>
  <c r="G5" i="3"/>
  <c r="H5" i="3"/>
  <c r="G6" i="3"/>
  <c r="H6" i="3"/>
  <c r="G7" i="3"/>
  <c r="H7" i="3"/>
  <c r="G8" i="3"/>
  <c r="H8" i="3"/>
  <c r="G9" i="3"/>
  <c r="G10" i="3" s="1"/>
  <c r="H9" i="3"/>
  <c r="H10" i="3" s="1"/>
  <c r="F7" i="3"/>
  <c r="F8" i="3"/>
  <c r="F9" i="3"/>
  <c r="F10" i="3" s="1"/>
  <c r="F6" i="3"/>
  <c r="F4" i="3"/>
  <c r="H3" i="2"/>
  <c r="B3" i="2" s="1"/>
  <c r="H4" i="2"/>
  <c r="B4" i="2" s="1"/>
  <c r="H5" i="2"/>
  <c r="B5" i="2" s="1"/>
  <c r="H6" i="2"/>
  <c r="B6" i="2" s="1"/>
  <c r="H7" i="2"/>
  <c r="B7" i="2" s="1"/>
  <c r="H8" i="2"/>
  <c r="B8" i="2" s="1"/>
  <c r="H2" i="2"/>
  <c r="B2" i="2" s="1"/>
  <c r="B3" i="1"/>
  <c r="C3" i="1"/>
  <c r="B4" i="1"/>
  <c r="C4" i="1"/>
  <c r="B5" i="1"/>
  <c r="C5" i="1"/>
  <c r="B6" i="1"/>
  <c r="C6" i="1"/>
  <c r="B7" i="1"/>
  <c r="C7" i="1"/>
  <c r="B8" i="1"/>
  <c r="C8" i="1"/>
  <c r="C2" i="1"/>
  <c r="B2" i="1"/>
</calcChain>
</file>

<file path=xl/sharedStrings.xml><?xml version="1.0" encoding="utf-8"?>
<sst xmlns="http://schemas.openxmlformats.org/spreadsheetml/2006/main" count="264" uniqueCount="80">
  <si>
    <t>Snapshot (ms)</t>
  </si>
  <si>
    <t>Container (ms)</t>
  </si>
  <si>
    <t>Restore (ms)</t>
  </si>
  <si>
    <t>Time-B (ms)</t>
  </si>
  <si>
    <t>Storage (MB)</t>
  </si>
  <si>
    <t>Average VmSize (KB)</t>
  </si>
  <si>
    <t>Average VmRSS (KB)</t>
  </si>
  <si>
    <t>Numpy Array (MB)</t>
  </si>
  <si>
    <t>VmRSS (MB)</t>
  </si>
  <si>
    <t>VmSize (MB)</t>
  </si>
  <si>
    <t>X Label Helper</t>
  </si>
  <si>
    <t>X Label</t>
  </si>
  <si>
    <t>VmRSS 43 MB; VmSize 106 MB; Numpy Array 0 MB</t>
  </si>
  <si>
    <t>VmRSS 115 MB; VmSize 293 MB; Numpy Array 64 MB</t>
  </si>
  <si>
    <t>VmRSS 182 MB; VmSize 343 MB; Numpy Array 128 MB</t>
  </si>
  <si>
    <t>VmRSS 304 MB; VmSize 485 MB; Numpy Array 256 MB</t>
  </si>
  <si>
    <t>VmRSS 560 MB; VmSize 741 MB; Numpy Array 512 MB</t>
  </si>
  <si>
    <t>VmRSS 1.05 GB; VmSize 1.22 GB; Numpy Array 1 GB</t>
  </si>
  <si>
    <t>VmRSS 2.05 GB; VmSize 2.19 GB; Numpy Array 2 GB</t>
  </si>
  <si>
    <t>Raw VmRSS</t>
  </si>
  <si>
    <t>Podman Overhead</t>
  </si>
  <si>
    <t>Runtime Overhead</t>
  </si>
  <si>
    <t>Freezing Time</t>
  </si>
  <si>
    <t>Frozen (Other)</t>
  </si>
  <si>
    <t>Memory Dump</t>
  </si>
  <si>
    <t>Memory Write</t>
  </si>
  <si>
    <t>Raw Output Here</t>
  </si>
  <si>
    <t>podman_checkpoint_duration</t>
  </si>
  <si>
    <t>runtime_checkpoint_duration</t>
  </si>
  <si>
    <t>freezing_time</t>
  </si>
  <si>
    <t>frozen_time</t>
  </si>
  <si>
    <t>memdump_time</t>
  </si>
  <si>
    <t>memwrite_time</t>
  </si>
  <si>
    <t>1 GB - Time (ms)</t>
  </si>
  <si>
    <t>0 GB - Time (ms)</t>
  </si>
  <si>
    <t>2 GB - Time (ms)</t>
  </si>
  <si>
    <t>pages_scanned</t>
  </si>
  <si>
    <t>pages_written</t>
  </si>
  <si>
    <t>CRIU</t>
  </si>
  <si>
    <t>runc</t>
  </si>
  <si>
    <t>Podman</t>
  </si>
  <si>
    <t>3 GB - Time (ms)</t>
  </si>
  <si>
    <t>Snapshot</t>
  </si>
  <si>
    <t>Per-page Write Speed</t>
  </si>
  <si>
    <t>podman_restore_duration</t>
  </si>
  <si>
    <t>runtime_restore_duration</t>
  </si>
  <si>
    <t>forking_time</t>
  </si>
  <si>
    <t>restore_time</t>
  </si>
  <si>
    <t>pages_restored</t>
  </si>
  <si>
    <t>Fork Time</t>
  </si>
  <si>
    <t>Restore Time</t>
  </si>
  <si>
    <t>Per-page Load Speed</t>
  </si>
  <si>
    <t>Restore</t>
  </si>
  <si>
    <t>The same FastAPI target app, but with different sizes of in-memory Numpy arrays added.</t>
  </si>
  <si>
    <t>Time (ms)</t>
  </si>
  <si>
    <t>None</t>
  </si>
  <si>
    <t>gzip</t>
  </si>
  <si>
    <t>zstd</t>
  </si>
  <si>
    <t>0 GB Memory</t>
  </si>
  <si>
    <t>2 GB Memory</t>
  </si>
  <si>
    <t>1 GB Memory</t>
  </si>
  <si>
    <t>Frozen Time</t>
  </si>
  <si>
    <t>Overall Podman Time</t>
  </si>
  <si>
    <t>The FastAPI app with 0 GB memory size, 0 GB local files, and with {different} compression, tested on er078 server</t>
  </si>
  <si>
    <t>Archive Image Size</t>
  </si>
  <si>
    <t>33 MB</t>
  </si>
  <si>
    <t>7.7 MB</t>
  </si>
  <si>
    <t>7.0 MB</t>
  </si>
  <si>
    <t>1.1 GB</t>
  </si>
  <si>
    <t>The FastAPI app with {different} memory size, 0 GB local files, and with no compression, tested on er078 server</t>
  </si>
  <si>
    <t>2.1 GB</t>
  </si>
  <si>
    <t>The FastAPI app with 0 memory size, {different} GB local files, and with no compression, tested on er078 server</t>
  </si>
  <si>
    <t>0 GB Disk</t>
  </si>
  <si>
    <t>1 GB Disk</t>
  </si>
  <si>
    <t>2 GB Disk</t>
  </si>
  <si>
    <t>The FastAPI app with  {different}  memory size, {different} GB local files, and with no compression, tested on er078 server</t>
  </si>
  <si>
    <t>0 GB Memory Disk</t>
  </si>
  <si>
    <t>1 GB Memory Disk</t>
  </si>
  <si>
    <t>2 GB Memory Disk</t>
  </si>
  <si>
    <t>4.1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</si>
</sst>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"/>
  </numFmts>
  <fonts count="5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164" fontId="0" fillId="0" borderId="0" xfId="0" applyNumberForma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0" fontId="0" fillId="3" borderId="0" xfId="0" applyFill="1"/>
    <xf numFmtId="3" fontId="0" fillId="3" borderId="0" xfId="0" applyNumberFormat="1" applyFill="1"/>
    <xf numFmtId="3" fontId="0" fillId="4" borderId="0" xfId="0" applyNumberFormat="1" applyFill="1"/>
    <xf numFmtId="0" fontId="0" fillId="4" borderId="0" xfId="0" applyFill="1"/>
    <xf numFmtId="0" fontId="2" fillId="0" borderId="0" xfId="0" applyFont="1" applyAlignment="1">
      <alignment vertical="center"/>
    </xf>
    <xf numFmtId="164" fontId="2" fillId="5" borderId="1" xfId="0" applyNumberFormat="1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164" fontId="2" fillId="6" borderId="1" xfId="0" applyNumberFormat="1" applyFont="1" applyFill="1" applyBorder="1" applyAlignment="1">
      <alignment vertical="center"/>
    </xf>
    <xf numFmtId="164" fontId="2" fillId="8" borderId="1" xfId="0" applyNumberFormat="1" applyFont="1" applyFill="1" applyBorder="1" applyAlignment="1">
      <alignment vertical="center"/>
    </xf>
    <xf numFmtId="164" fontId="2" fillId="9" borderId="1" xfId="0" applyNumberFormat="1" applyFont="1" applyFill="1" applyBorder="1" applyAlignment="1">
      <alignment vertical="center"/>
    </xf>
    <xf numFmtId="164" fontId="2" fillId="10" borderId="1" xfId="0" applyNumberFormat="1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164" fontId="2" fillId="11" borderId="1" xfId="0" applyNumberFormat="1" applyFont="1" applyFill="1" applyBorder="1" applyAlignment="1">
      <alignment vertical="center"/>
    </xf>
    <xf numFmtId="164" fontId="2" fillId="10" borderId="3" xfId="0" applyNumberFormat="1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2" fillId="10" borderId="3" xfId="0" applyFont="1" applyFill="1" applyBorder="1" applyAlignment="1">
      <alignment vertical="center"/>
    </xf>
    <xf numFmtId="0" fontId="2" fillId="9" borderId="6" xfId="0" applyFont="1" applyFill="1" applyBorder="1" applyAlignment="1">
      <alignment vertical="center"/>
    </xf>
    <xf numFmtId="0" fontId="2" fillId="9" borderId="7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164" fontId="2" fillId="10" borderId="15" xfId="0" applyNumberFormat="1" applyFont="1" applyFill="1" applyBorder="1" applyAlignment="1">
      <alignment vertical="center"/>
    </xf>
    <xf numFmtId="164" fontId="2" fillId="9" borderId="15" xfId="0" applyNumberFormat="1" applyFont="1" applyFill="1" applyBorder="1" applyAlignment="1">
      <alignment vertical="center"/>
    </xf>
    <xf numFmtId="164" fontId="2" fillId="8" borderId="15" xfId="0" applyNumberFormat="1" applyFont="1" applyFill="1" applyBorder="1" applyAlignment="1">
      <alignment vertical="center"/>
    </xf>
    <xf numFmtId="164" fontId="2" fillId="5" borderId="15" xfId="0" applyNumberFormat="1" applyFont="1" applyFill="1" applyBorder="1" applyAlignment="1">
      <alignment vertical="center"/>
    </xf>
    <xf numFmtId="164" fontId="2" fillId="11" borderId="15" xfId="0" applyNumberFormat="1" applyFont="1" applyFill="1" applyBorder="1" applyAlignment="1">
      <alignment vertical="center"/>
    </xf>
    <xf numFmtId="164" fontId="2" fillId="6" borderId="15" xfId="0" applyNumberFormat="1" applyFont="1" applyFill="1" applyBorder="1" applyAlignment="1">
      <alignment vertical="center"/>
    </xf>
    <xf numFmtId="165" fontId="2" fillId="7" borderId="18" xfId="0" applyNumberFormat="1" applyFont="1" applyFill="1" applyBorder="1" applyAlignment="1">
      <alignment vertical="center"/>
    </xf>
    <xf numFmtId="165" fontId="2" fillId="7" borderId="19" xfId="0" applyNumberFormat="1" applyFont="1" applyFill="1" applyBorder="1" applyAlignment="1">
      <alignment vertical="center"/>
    </xf>
    <xf numFmtId="0" fontId="2" fillId="5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2" fillId="7" borderId="22" xfId="0" applyFont="1" applyFill="1" applyBorder="1" applyAlignment="1">
      <alignment vertical="center"/>
    </xf>
    <xf numFmtId="0" fontId="1" fillId="7" borderId="12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vertical="center" textRotation="90"/>
    </xf>
    <xf numFmtId="0" fontId="2" fillId="5" borderId="2" xfId="0" applyFont="1" applyFill="1" applyBorder="1" applyAlignment="1">
      <alignment vertical="center" textRotation="90"/>
    </xf>
    <xf numFmtId="0" fontId="2" fillId="5" borderId="23" xfId="0" applyFont="1" applyFill="1" applyBorder="1" applyAlignment="1">
      <alignment vertical="center" textRotation="90"/>
    </xf>
    <xf numFmtId="0" fontId="2" fillId="7" borderId="24" xfId="0" applyFont="1" applyFill="1" applyBorder="1" applyAlignment="1">
      <alignment vertical="center" textRotation="90"/>
    </xf>
    <xf numFmtId="0" fontId="2" fillId="0" borderId="10" xfId="0" applyFont="1" applyBorder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8" borderId="4" xfId="0" applyFont="1" applyFill="1" applyBorder="1" applyAlignment="1">
      <alignment vertical="center"/>
    </xf>
    <xf numFmtId="0" fontId="2" fillId="10" borderId="14" xfId="0" applyFont="1" applyFill="1" applyBorder="1" applyAlignment="1">
      <alignment vertical="center"/>
    </xf>
    <xf numFmtId="0" fontId="1" fillId="7" borderId="11" xfId="0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1" fillId="7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 textRotation="90"/>
    </xf>
    <xf numFmtId="0" fontId="2" fillId="12" borderId="9" xfId="0" applyFont="1" applyFill="1" applyBorder="1" applyAlignment="1">
      <alignment horizontal="center" vertical="center" textRotation="90"/>
    </xf>
    <xf numFmtId="0" fontId="2" fillId="12" borderId="21" xfId="0" applyFont="1" applyFill="1" applyBorder="1" applyAlignment="1">
      <alignment horizontal="center" vertical="center" textRotation="90"/>
    </xf>
    <xf numFmtId="0" fontId="2" fillId="9" borderId="6" xfId="0" applyFont="1" applyFill="1" applyBorder="1" applyAlignment="1">
      <alignment horizontal="center" vertical="center" textRotation="90"/>
    </xf>
    <xf numFmtId="0" fontId="2" fillId="9" borderId="9" xfId="0" applyFont="1" applyFill="1" applyBorder="1" applyAlignment="1">
      <alignment horizontal="center" vertical="center" textRotation="90"/>
    </xf>
    <xf numFmtId="0" fontId="2" fillId="9" borderId="21" xfId="0" applyFont="1" applyFill="1" applyBorder="1" applyAlignment="1">
      <alignment horizontal="center" vertical="center" textRotation="90"/>
    </xf>
    <xf numFmtId="0" fontId="2" fillId="10" borderId="14" xfId="0" applyFont="1" applyFill="1" applyBorder="1" applyAlignment="1">
      <alignment horizontal="center" vertical="center" textRotation="90"/>
    </xf>
    <xf numFmtId="0" fontId="2" fillId="10" borderId="16" xfId="0" applyFont="1" applyFill="1" applyBorder="1" applyAlignment="1">
      <alignment horizontal="center" vertical="center" textRotation="90"/>
    </xf>
    <xf numFmtId="0" fontId="2" fillId="10" borderId="17" xfId="0" applyFont="1" applyFill="1" applyBorder="1" applyAlignment="1">
      <alignment horizontal="center" vertical="center" textRotation="90"/>
    </xf>
    <xf numFmtId="0" fontId="2" fillId="9" borderId="5" xfId="0" applyFont="1" applyFill="1" applyBorder="1" applyAlignment="1">
      <alignment horizontal="center" vertical="center" textRotation="90"/>
    </xf>
    <xf numFmtId="0" fontId="2" fillId="9" borderId="20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/>
    </xf>
    <xf numFmtId="0" fontId="2" fillId="9" borderId="28" xfId="0" applyFont="1" applyFill="1" applyBorder="1" applyAlignment="1">
      <alignment horizontal="center" vertical="center" textRotation="90"/>
    </xf>
    <xf numFmtId="0" fontId="2" fillId="12" borderId="28" xfId="0" applyFont="1" applyFill="1" applyBorder="1" applyAlignment="1">
      <alignment horizontal="center" vertical="center" textRotation="90"/>
    </xf>
    <xf numFmtId="0" fontId="2" fillId="7" borderId="3" xfId="0" applyFont="1" applyFill="1" applyBorder="1" applyAlignment="1">
      <alignment vertical="center"/>
    </xf>
    <xf numFmtId="165" fontId="2" fillId="7" borderId="1" xfId="0" applyNumberFormat="1" applyFont="1" applyFill="1" applyBorder="1" applyAlignment="1">
      <alignment vertical="center"/>
    </xf>
    <xf numFmtId="0" fontId="2" fillId="10" borderId="29" xfId="0" applyFont="1" applyFill="1" applyBorder="1" applyAlignment="1">
      <alignment horizontal="center" vertical="center" textRotation="90"/>
    </xf>
    <xf numFmtId="165" fontId="2" fillId="7" borderId="15" xfId="0" applyNumberFormat="1" applyFont="1" applyFill="1" applyBorder="1" applyAlignment="1">
      <alignment vertical="center"/>
    </xf>
    <xf numFmtId="0" fontId="2" fillId="10" borderId="17" xfId="0" applyFont="1" applyFill="1" applyBorder="1" applyAlignment="1">
      <alignment horizontal="left" vertical="center"/>
    </xf>
    <xf numFmtId="0" fontId="2" fillId="10" borderId="30" xfId="0" applyFont="1" applyFill="1" applyBorder="1" applyAlignment="1">
      <alignment horizontal="left" vertical="center"/>
    </xf>
    <xf numFmtId="164" fontId="2" fillId="10" borderId="20" xfId="0" applyNumberFormat="1" applyFont="1" applyFill="1" applyBorder="1" applyAlignment="1">
      <alignment vertical="center"/>
    </xf>
    <xf numFmtId="164" fontId="2" fillId="10" borderId="31" xfId="0" applyNumberFormat="1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 textRotation="90"/>
    </xf>
    <xf numFmtId="0" fontId="2" fillId="10" borderId="32" xfId="0" applyFont="1" applyFill="1" applyBorder="1" applyAlignment="1">
      <alignment horizontal="center" vertical="center" textRotation="90"/>
    </xf>
    <xf numFmtId="0" fontId="2" fillId="10" borderId="33" xfId="0" applyFont="1" applyFill="1" applyBorder="1" applyAlignment="1">
      <alignment horizontal="center" vertical="center" textRotation="90"/>
    </xf>
    <xf numFmtId="0" fontId="2" fillId="9" borderId="3" xfId="0" applyFont="1" applyFill="1" applyBorder="1" applyAlignment="1">
      <alignment vertical="center"/>
    </xf>
    <xf numFmtId="0" fontId="2" fillId="9" borderId="27" xfId="0" applyFont="1" applyFill="1" applyBorder="1" applyAlignment="1">
      <alignment horizontal="center" vertical="center" textRotation="90"/>
    </xf>
    <xf numFmtId="0" fontId="2" fillId="9" borderId="4" xfId="0" applyFont="1" applyFill="1" applyBorder="1" applyAlignment="1">
      <alignment vertical="center"/>
    </xf>
    <xf numFmtId="0" fontId="2" fillId="12" borderId="27" xfId="0" applyFont="1" applyFill="1" applyBorder="1" applyAlignment="1">
      <alignment horizontal="center" vertical="center" textRotation="90"/>
    </xf>
    <xf numFmtId="0" fontId="1" fillId="7" borderId="1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2" fillId="10" borderId="34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2" fillId="10" borderId="24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164" fontId="2" fillId="10" borderId="18" xfId="0" applyNumberFormat="1" applyFont="1" applyFill="1" applyBorder="1" applyAlignment="1">
      <alignment horizontal="right" vertical="center"/>
    </xf>
    <xf numFmtId="164" fontId="2" fillId="10" borderId="19" xfId="0" applyNumberFormat="1" applyFont="1" applyFill="1" applyBorder="1" applyAlignment="1">
      <alignment horizontal="right" vertical="center"/>
    </xf>
    <xf numFmtId="0" fontId="2" fillId="10" borderId="18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164" fontId="2" fillId="0" borderId="0" xfId="0" applyNumberFormat="1" applyFont="1" applyFill="1" applyBorder="1" applyAlignment="1">
      <alignment vertical="center"/>
    </xf>
    <xf numFmtId="0" fontId="2" fillId="10" borderId="17" xfId="0" applyFont="1" applyFill="1" applyBorder="1" applyAlignment="1">
      <alignment horizontal="center" vertical="center"/>
    </xf>
    <xf numFmtId="0" fontId="2" fillId="10" borderId="3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64" fontId="2" fillId="0" borderId="0" xfId="0" applyNumberFormat="1" applyFont="1" applyFill="1" applyBorder="1" applyAlignment="1">
      <alignment horizontal="right" vertical="center"/>
    </xf>
    <xf numFmtId="0" fontId="2" fillId="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PrintStats!$A$4</c:f>
              <c:strCache>
                <c:ptCount val="1"/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PrintStats!$F$3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PrintStats!$F$4</c:f>
              <c:numCache>
                <c:formatCode>#,##0.000</c:formatCode>
                <c:ptCount val="1"/>
                <c:pt idx="0">
                  <c:v>188.505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7-E748-B48B-5BFBEAB7227F}"/>
            </c:ext>
          </c:extLst>
        </c:ser>
        <c:ser>
          <c:idx val="1"/>
          <c:order val="1"/>
          <c:tx>
            <c:strRef>
              <c:f>PrintStats!$B$5</c:f>
              <c:strCache>
                <c:ptCount val="1"/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PrintStats!$F$3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PrintStats!$F$5</c:f>
              <c:numCache>
                <c:formatCode>#,##0.000</c:formatCode>
                <c:ptCount val="1"/>
                <c:pt idx="0">
                  <c:v>18.111000000000001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67-E748-B48B-5BFBEAB7227F}"/>
            </c:ext>
          </c:extLst>
        </c:ser>
        <c:ser>
          <c:idx val="2"/>
          <c:order val="2"/>
          <c:tx>
            <c:strRef>
              <c:f>PrintStats!$D$6</c:f>
              <c:strCache>
                <c:ptCount val="1"/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PrintStats!$F$3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PrintStats!$F$6</c:f>
              <c:numCache>
                <c:formatCode>#,##0.000</c:formatCode>
                <c:ptCount val="1"/>
                <c:pt idx="0">
                  <c:v>100.922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67-E748-B48B-5BFBEAB7227F}"/>
            </c:ext>
          </c:extLst>
        </c:ser>
        <c:ser>
          <c:idx val="3"/>
          <c:order val="3"/>
          <c:tx>
            <c:strRef>
              <c:f>PrintStats!$E$7</c:f>
              <c:strCache>
                <c:ptCount val="1"/>
                <c:pt idx="0">
                  <c:v>Frozen (Other)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PrintStats!$F$3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PrintStats!$F$7</c:f>
              <c:numCache>
                <c:formatCode>#,##0.000</c:formatCode>
                <c:ptCount val="1"/>
                <c:pt idx="0">
                  <c:v>151.18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67-E748-B48B-5BFBEAB7227F}"/>
            </c:ext>
          </c:extLst>
        </c:ser>
        <c:ser>
          <c:idx val="4"/>
          <c:order val="4"/>
          <c:tx>
            <c:strRef>
              <c:f>PrintStats!$E$8</c:f>
              <c:strCache>
                <c:ptCount val="1"/>
                <c:pt idx="0">
                  <c:v>Memory Dump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PrintStats!$F$3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PrintStats!$F$8</c:f>
              <c:numCache>
                <c:formatCode>#,##0.000</c:formatCode>
                <c:ptCount val="1"/>
                <c:pt idx="0">
                  <c:v>5.5709999999999997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67-E748-B48B-5BFBEAB7227F}"/>
            </c:ext>
          </c:extLst>
        </c:ser>
        <c:ser>
          <c:idx val="5"/>
          <c:order val="5"/>
          <c:tx>
            <c:strRef>
              <c:f>PrintStats!$E$9</c:f>
              <c:strCache>
                <c:ptCount val="1"/>
                <c:pt idx="0">
                  <c:v>Memory Write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PrintStats!$F$3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PrintStats!$F$9</c:f>
              <c:numCache>
                <c:formatCode>#,##0.000</c:formatCode>
                <c:ptCount val="1"/>
                <c:pt idx="0">
                  <c:v>19.068999999999999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67-E748-B48B-5BFBEAB72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6624208"/>
        <c:axId val="736625920"/>
      </c:barChart>
      <c:catAx>
        <c:axId val="7366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5920"/>
        <c:crosses val="autoZero"/>
        <c:auto val="1"/>
        <c:lblAlgn val="ctr"/>
        <c:lblOffset val="100"/>
        <c:noMultiLvlLbl val="0"/>
      </c:catAx>
      <c:valAx>
        <c:axId val="736625920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PrintStats!$A$4</c:f>
              <c:strCache>
                <c:ptCount val="1"/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PrintStats!$G$3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PrintStats!$G$4</c:f>
              <c:numCache>
                <c:formatCode>#,##0.000</c:formatCode>
                <c:ptCount val="1"/>
                <c:pt idx="0">
                  <c:v>1539.193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3-4C4A-A1FF-F2E765FFEC52}"/>
            </c:ext>
          </c:extLst>
        </c:ser>
        <c:ser>
          <c:idx val="1"/>
          <c:order val="1"/>
          <c:tx>
            <c:strRef>
              <c:f>PrintStats!$B$5</c:f>
              <c:strCache>
                <c:ptCount val="1"/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PrintStats!$G$3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PrintStats!$G$5</c:f>
              <c:numCache>
                <c:formatCode>#,##0.000</c:formatCode>
                <c:ptCount val="1"/>
                <c:pt idx="0">
                  <c:v>17.454999999999998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43-4C4A-A1FF-F2E765FFEC52}"/>
            </c:ext>
          </c:extLst>
        </c:ser>
        <c:ser>
          <c:idx val="2"/>
          <c:order val="2"/>
          <c:tx>
            <c:strRef>
              <c:f>PrintStats!$D$6</c:f>
              <c:strCache>
                <c:ptCount val="1"/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PrintStats!$G$3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PrintStats!$G$6</c:f>
              <c:numCache>
                <c:formatCode>#,##0.000</c:formatCode>
                <c:ptCount val="1"/>
                <c:pt idx="0">
                  <c:v>103.88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43-4C4A-A1FF-F2E765FFEC52}"/>
            </c:ext>
          </c:extLst>
        </c:ser>
        <c:ser>
          <c:idx val="3"/>
          <c:order val="3"/>
          <c:tx>
            <c:strRef>
              <c:f>PrintStats!$E$7</c:f>
              <c:strCache>
                <c:ptCount val="1"/>
                <c:pt idx="0">
                  <c:v>Frozen (Other)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PrintStats!$G$3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PrintStats!$G$7</c:f>
              <c:numCache>
                <c:formatCode>#,##0.000</c:formatCode>
                <c:ptCount val="1"/>
                <c:pt idx="0">
                  <c:v>161.465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43-4C4A-A1FF-F2E765FFEC52}"/>
            </c:ext>
          </c:extLst>
        </c:ser>
        <c:ser>
          <c:idx val="4"/>
          <c:order val="4"/>
          <c:tx>
            <c:strRef>
              <c:f>PrintStats!$E$8</c:f>
              <c:strCache>
                <c:ptCount val="1"/>
                <c:pt idx="0">
                  <c:v>Memory Dump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PrintStats!$G$3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PrintStats!$G$8</c:f>
              <c:numCache>
                <c:formatCode>#,##0.000</c:formatCode>
                <c:ptCount val="1"/>
                <c:pt idx="0">
                  <c:v>62.759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43-4C4A-A1FF-F2E765FFEC52}"/>
            </c:ext>
          </c:extLst>
        </c:ser>
        <c:ser>
          <c:idx val="5"/>
          <c:order val="5"/>
          <c:tx>
            <c:strRef>
              <c:f>PrintStats!$E$9</c:f>
              <c:strCache>
                <c:ptCount val="1"/>
                <c:pt idx="0">
                  <c:v>Memory Write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PrintStats!$G$3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PrintStats!$G$9</c:f>
              <c:numCache>
                <c:formatCode>#,##0.000</c:formatCode>
                <c:ptCount val="1"/>
                <c:pt idx="0">
                  <c:v>626.89499999999998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43-4C4A-A1FF-F2E765FFE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6624208"/>
        <c:axId val="736625920"/>
      </c:barChart>
      <c:catAx>
        <c:axId val="7366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5920"/>
        <c:crosses val="autoZero"/>
        <c:auto val="1"/>
        <c:lblAlgn val="ctr"/>
        <c:lblOffset val="100"/>
        <c:noMultiLvlLbl val="0"/>
      </c:catAx>
      <c:valAx>
        <c:axId val="736625920"/>
        <c:scaling>
          <c:orientation val="minMax"/>
          <c:max val="2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PrintStats!$E$4</c:f>
              <c:strCache>
                <c:ptCount val="1"/>
                <c:pt idx="0">
                  <c:v>Podman Overhead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PrintStats!$H$3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PrintStats!$H$4</c:f>
              <c:numCache>
                <c:formatCode>#,##0.000</c:formatCode>
                <c:ptCount val="1"/>
                <c:pt idx="0">
                  <c:v>4316.2619999999997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2E-A14B-9DD8-ADE553901365}"/>
            </c:ext>
          </c:extLst>
        </c:ser>
        <c:ser>
          <c:idx val="1"/>
          <c:order val="1"/>
          <c:tx>
            <c:strRef>
              <c:f>PrintStats!$E$5</c:f>
              <c:strCache>
                <c:ptCount val="1"/>
                <c:pt idx="0">
                  <c:v>Runtime Overhead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5"/>
                  <c:y val="1.15740740740740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22E-A14B-9DD8-ADE5539013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PrintStats!$H$3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PrintStats!$H$5</c:f>
              <c:numCache>
                <c:formatCode>#,##0.000</c:formatCode>
                <c:ptCount val="1"/>
                <c:pt idx="0">
                  <c:v>17.045000000000002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22E-A14B-9DD8-ADE553901365}"/>
            </c:ext>
          </c:extLst>
        </c:ser>
        <c:ser>
          <c:idx val="2"/>
          <c:order val="2"/>
          <c:tx>
            <c:strRef>
              <c:f>PrintStats!$E$6</c:f>
              <c:strCache>
                <c:ptCount val="1"/>
                <c:pt idx="0">
                  <c:v>Freezing Time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PrintStats!$H$3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PrintStats!$H$6</c:f>
              <c:numCache>
                <c:formatCode>#,##0.000</c:formatCode>
                <c:ptCount val="1"/>
                <c:pt idx="0">
                  <c:v>103.629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22E-A14B-9DD8-ADE553901365}"/>
            </c:ext>
          </c:extLst>
        </c:ser>
        <c:ser>
          <c:idx val="3"/>
          <c:order val="3"/>
          <c:tx>
            <c:strRef>
              <c:f>PrintStats!$E$7</c:f>
              <c:strCache>
                <c:ptCount val="1"/>
                <c:pt idx="0">
                  <c:v>Frozen (Other)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PrintStats!$H$3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PrintStats!$H$7</c:f>
              <c:numCache>
                <c:formatCode>#,##0.000</c:formatCode>
                <c:ptCount val="1"/>
                <c:pt idx="0">
                  <c:v>172.553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22E-A14B-9DD8-ADE553901365}"/>
            </c:ext>
          </c:extLst>
        </c:ser>
        <c:ser>
          <c:idx val="4"/>
          <c:order val="4"/>
          <c:tx>
            <c:strRef>
              <c:f>PrintStats!$E$8</c:f>
              <c:strCache>
                <c:ptCount val="1"/>
                <c:pt idx="0">
                  <c:v>Memory Dump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PrintStats!$H$3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PrintStats!$H$8</c:f>
              <c:numCache>
                <c:formatCode>#,##0.000</c:formatCode>
                <c:ptCount val="1"/>
                <c:pt idx="0">
                  <c:v>131.67699999999999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22E-A14B-9DD8-ADE553901365}"/>
            </c:ext>
          </c:extLst>
        </c:ser>
        <c:ser>
          <c:idx val="5"/>
          <c:order val="5"/>
          <c:tx>
            <c:strRef>
              <c:f>PrintStats!$E$9</c:f>
              <c:strCache>
                <c:ptCount val="1"/>
                <c:pt idx="0">
                  <c:v>Memory Write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PrintStats!$H$3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PrintStats!$H$9</c:f>
              <c:numCache>
                <c:formatCode>#,##0.000</c:formatCode>
                <c:ptCount val="1"/>
                <c:pt idx="0">
                  <c:v>1238.579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22E-A14B-9DD8-ADE553901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6624208"/>
        <c:axId val="736625920"/>
      </c:barChart>
      <c:catAx>
        <c:axId val="7366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5920"/>
        <c:crosses val="autoZero"/>
        <c:auto val="1"/>
        <c:lblAlgn val="ctr"/>
        <c:lblOffset val="100"/>
        <c:noMultiLvlLbl val="0"/>
      </c:catAx>
      <c:valAx>
        <c:axId val="736625920"/>
        <c:scaling>
          <c:orientation val="minMax"/>
          <c:max val="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4208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PrintStats!$E$4</c:f>
              <c:strCache>
                <c:ptCount val="1"/>
                <c:pt idx="0">
                  <c:v>Podman Overhead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PrintStats!$I$3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PrintStats!$I$4</c:f>
              <c:numCache>
                <c:formatCode>#,##0.000</c:formatCode>
                <c:ptCount val="1"/>
                <c:pt idx="0">
                  <c:v>4995.7139999999999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B-D744-8704-E79E2A7C91ED}"/>
            </c:ext>
          </c:extLst>
        </c:ser>
        <c:ser>
          <c:idx val="1"/>
          <c:order val="1"/>
          <c:tx>
            <c:strRef>
              <c:f>PrintStats!$E$5</c:f>
              <c:strCache>
                <c:ptCount val="1"/>
                <c:pt idx="0">
                  <c:v>Runtime Overhead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5"/>
                  <c:y val="1.15740740740740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51B-D744-8704-E79E2A7C91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PrintStats!$I$3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PrintStats!$I$5</c:f>
              <c:numCache>
                <c:formatCode>#,##0.000</c:formatCode>
                <c:ptCount val="1"/>
                <c:pt idx="0">
                  <c:v>16.754999999999999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1B-D744-8704-E79E2A7C91ED}"/>
            </c:ext>
          </c:extLst>
        </c:ser>
        <c:ser>
          <c:idx val="2"/>
          <c:order val="2"/>
          <c:tx>
            <c:strRef>
              <c:f>PrintStats!$E$6</c:f>
              <c:strCache>
                <c:ptCount val="1"/>
                <c:pt idx="0">
                  <c:v>Freezing Time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PrintStats!$I$3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PrintStats!$I$6</c:f>
              <c:numCache>
                <c:formatCode>#,##0.000</c:formatCode>
                <c:ptCount val="1"/>
                <c:pt idx="0">
                  <c:v>103.709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1B-D744-8704-E79E2A7C91ED}"/>
            </c:ext>
          </c:extLst>
        </c:ser>
        <c:ser>
          <c:idx val="3"/>
          <c:order val="3"/>
          <c:tx>
            <c:strRef>
              <c:f>PrintStats!$E$7</c:f>
              <c:strCache>
                <c:ptCount val="1"/>
                <c:pt idx="0">
                  <c:v>Frozen (Other)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PrintStats!$I$3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PrintStats!$I$7</c:f>
              <c:numCache>
                <c:formatCode>#,##0.000</c:formatCode>
                <c:ptCount val="1"/>
                <c:pt idx="0">
                  <c:v>174.63900000000001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1B-D744-8704-E79E2A7C91ED}"/>
            </c:ext>
          </c:extLst>
        </c:ser>
        <c:ser>
          <c:idx val="4"/>
          <c:order val="4"/>
          <c:tx>
            <c:strRef>
              <c:f>PrintStats!$E$8</c:f>
              <c:strCache>
                <c:ptCount val="1"/>
                <c:pt idx="0">
                  <c:v>Memory Dump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PrintStats!$I$3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PrintStats!$I$8</c:f>
              <c:numCache>
                <c:formatCode>#,##0.000</c:formatCode>
                <c:ptCount val="1"/>
                <c:pt idx="0">
                  <c:v>149.59100000000001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51B-D744-8704-E79E2A7C91ED}"/>
            </c:ext>
          </c:extLst>
        </c:ser>
        <c:ser>
          <c:idx val="5"/>
          <c:order val="5"/>
          <c:tx>
            <c:strRef>
              <c:f>PrintStats!$E$9</c:f>
              <c:strCache>
                <c:ptCount val="1"/>
                <c:pt idx="0">
                  <c:v>Memory Write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PrintStats!$I$3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PrintStats!$I$9</c:f>
              <c:numCache>
                <c:formatCode>#,##0.000</c:formatCode>
                <c:ptCount val="1"/>
                <c:pt idx="0">
                  <c:v>1819.8589999999999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1B-D744-8704-E79E2A7C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6624208"/>
        <c:axId val="736625920"/>
      </c:barChart>
      <c:catAx>
        <c:axId val="7366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5920"/>
        <c:crosses val="autoZero"/>
        <c:auto val="1"/>
        <c:lblAlgn val="ctr"/>
        <c:lblOffset val="100"/>
        <c:noMultiLvlLbl val="0"/>
      </c:catAx>
      <c:valAx>
        <c:axId val="736625920"/>
        <c:scaling>
          <c:orientation val="minMax"/>
          <c:max val="7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4208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PrintStats!$N$4</c:f>
              <c:strCache>
                <c:ptCount val="1"/>
                <c:pt idx="0">
                  <c:v>Podman Overhead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29-1C4A-AE4E-B10F1DB616B9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29-1C4A-AE4E-B10F1DB616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PrintStats!$O$3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PrintStats!$O$4</c:f>
              <c:numCache>
                <c:formatCode>#,##0.000</c:formatCode>
                <c:ptCount val="1"/>
                <c:pt idx="0">
                  <c:v>258.56799999999998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29-1C4A-AE4E-B10F1DB616B9}"/>
            </c:ext>
          </c:extLst>
        </c:ser>
        <c:ser>
          <c:idx val="1"/>
          <c:order val="1"/>
          <c:tx>
            <c:strRef>
              <c:f>PrintStats!$N$5</c:f>
              <c:strCache>
                <c:ptCount val="1"/>
                <c:pt idx="0">
                  <c:v>Runtime Overhead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PrintStats!$O$3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PrintStats!$O$5</c:f>
              <c:numCache>
                <c:formatCode>#,##0.000</c:formatCode>
                <c:ptCount val="1"/>
                <c:pt idx="0">
                  <c:v>71.915999999999997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29-1C4A-AE4E-B10F1DB616B9}"/>
            </c:ext>
          </c:extLst>
        </c:ser>
        <c:ser>
          <c:idx val="2"/>
          <c:order val="2"/>
          <c:tx>
            <c:strRef>
              <c:f>PrintStats!$N$6</c:f>
              <c:strCache>
                <c:ptCount val="1"/>
                <c:pt idx="0">
                  <c:v>Fork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PrintStats!$O$3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PrintStats!$O$6</c:f>
              <c:numCache>
                <c:formatCode>#,##0.000</c:formatCode>
                <c:ptCount val="1"/>
                <c:pt idx="0">
                  <c:v>3.0000000000000001E-3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29-1C4A-AE4E-B10F1DB616B9}"/>
            </c:ext>
          </c:extLst>
        </c:ser>
        <c:ser>
          <c:idx val="3"/>
          <c:order val="3"/>
          <c:tx>
            <c:strRef>
              <c:f>PrintStats!$N$7</c:f>
              <c:strCache>
                <c:ptCount val="1"/>
                <c:pt idx="0">
                  <c:v>Restore Time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PrintStats!$O$3</c:f>
              <c:strCache>
                <c:ptCount val="1"/>
                <c:pt idx="0">
                  <c:v>0 GB - Time (ms)</c:v>
                </c:pt>
              </c:strCache>
            </c:strRef>
          </c:cat>
          <c:val>
            <c:numRef>
              <c:f>PrintStats!$O$7</c:f>
              <c:numCache>
                <c:formatCode>#,##0.000</c:formatCode>
                <c:ptCount val="1"/>
                <c:pt idx="0">
                  <c:v>132.22800000000001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29-1C4A-AE4E-B10F1DB616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36624208"/>
        <c:axId val="736625920"/>
      </c:barChart>
      <c:catAx>
        <c:axId val="7366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5920"/>
        <c:crosses val="autoZero"/>
        <c:auto val="1"/>
        <c:lblAlgn val="ctr"/>
        <c:lblOffset val="100"/>
        <c:noMultiLvlLbl val="0"/>
      </c:catAx>
      <c:valAx>
        <c:axId val="736625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PrintStats!$N$4</c:f>
              <c:strCache>
                <c:ptCount val="1"/>
                <c:pt idx="0">
                  <c:v>Podman Overhead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PrintStats!$P$3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PrintStats!$P$4</c:f>
              <c:numCache>
                <c:formatCode>#,##0.000</c:formatCode>
                <c:ptCount val="1"/>
                <c:pt idx="0">
                  <c:v>4559.6779999999999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C8-FE4B-982C-F3C952C170A5}"/>
            </c:ext>
          </c:extLst>
        </c:ser>
        <c:ser>
          <c:idx val="1"/>
          <c:order val="1"/>
          <c:tx>
            <c:strRef>
              <c:f>PrintStats!$N$5</c:f>
              <c:strCache>
                <c:ptCount val="1"/>
                <c:pt idx="0">
                  <c:v>Runtime Overhead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PrintStats!$P$3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PrintStats!$P$5</c:f>
              <c:numCache>
                <c:formatCode>#,##0.000</c:formatCode>
                <c:ptCount val="1"/>
                <c:pt idx="0">
                  <c:v>90.081999999999994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C8-FE4B-982C-F3C952C170A5}"/>
            </c:ext>
          </c:extLst>
        </c:ser>
        <c:ser>
          <c:idx val="2"/>
          <c:order val="2"/>
          <c:tx>
            <c:strRef>
              <c:f>PrintStats!$N$6</c:f>
              <c:strCache>
                <c:ptCount val="1"/>
                <c:pt idx="0">
                  <c:v>Fork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5462962962962965"/>
                  <c:y val="2.314814814814814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BC8-FE4B-982C-F3C952C170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PrintStats!$P$3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PrintStats!$P$6</c:f>
              <c:numCache>
                <c:formatCode>#,##0.000</c:formatCode>
                <c:ptCount val="1"/>
                <c:pt idx="0">
                  <c:v>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C8-FE4B-982C-F3C952C170A5}"/>
            </c:ext>
          </c:extLst>
        </c:ser>
        <c:ser>
          <c:idx val="3"/>
          <c:order val="3"/>
          <c:tx>
            <c:strRef>
              <c:f>PrintStats!$N$7</c:f>
              <c:strCache>
                <c:ptCount val="1"/>
                <c:pt idx="0">
                  <c:v>Restore Time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PrintStats!$P$3</c:f>
              <c:strCache>
                <c:ptCount val="1"/>
                <c:pt idx="0">
                  <c:v>1 GB - Time (ms)</c:v>
                </c:pt>
              </c:strCache>
            </c:strRef>
          </c:cat>
          <c:val>
            <c:numRef>
              <c:f>PrintStats!$P$7</c:f>
              <c:numCache>
                <c:formatCode>#,##0.000</c:formatCode>
                <c:ptCount val="1"/>
                <c:pt idx="0">
                  <c:v>483.22199999999998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BC8-FE4B-982C-F3C952C170A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36624208"/>
        <c:axId val="736625920"/>
      </c:barChart>
      <c:catAx>
        <c:axId val="7366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5920"/>
        <c:crosses val="autoZero"/>
        <c:auto val="1"/>
        <c:lblAlgn val="ctr"/>
        <c:lblOffset val="100"/>
        <c:noMultiLvlLbl val="0"/>
      </c:catAx>
      <c:valAx>
        <c:axId val="736625920"/>
        <c:scaling>
          <c:orientation val="minMax"/>
          <c:max val="5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PrintStats!$N$4</c:f>
              <c:strCache>
                <c:ptCount val="1"/>
                <c:pt idx="0">
                  <c:v>Podman Overhead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PrintStats!$Q$3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PrintStats!$Q$4</c:f>
              <c:numCache>
                <c:formatCode>#,##0.000</c:formatCode>
                <c:ptCount val="1"/>
                <c:pt idx="0">
                  <c:v>8795.9699999999993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65-234F-90FD-3DE5D51E4D75}"/>
            </c:ext>
          </c:extLst>
        </c:ser>
        <c:ser>
          <c:idx val="1"/>
          <c:order val="1"/>
          <c:tx>
            <c:strRef>
              <c:f>PrintStats!$N$5</c:f>
              <c:strCache>
                <c:ptCount val="1"/>
                <c:pt idx="0">
                  <c:v>Runtime Overhead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PrintStats!$Q$3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PrintStats!$Q$5</c:f>
              <c:numCache>
                <c:formatCode>#,##0.000</c:formatCode>
                <c:ptCount val="1"/>
                <c:pt idx="0">
                  <c:v>82.808000000000007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65-234F-90FD-3DE5D51E4D75}"/>
            </c:ext>
          </c:extLst>
        </c:ser>
        <c:ser>
          <c:idx val="2"/>
          <c:order val="2"/>
          <c:tx>
            <c:strRef>
              <c:f>PrintStats!$N$6</c:f>
              <c:strCache>
                <c:ptCount val="1"/>
                <c:pt idx="0">
                  <c:v>Fork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5"/>
                  <c:y val="-2.314814814814814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65-234F-90FD-3DE5D51E4D7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PrintStats!$Q$3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PrintStats!$Q$6</c:f>
              <c:numCache>
                <c:formatCode>#,##0.000</c:formatCode>
                <c:ptCount val="1"/>
                <c:pt idx="0">
                  <c:v>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65-234F-90FD-3DE5D51E4D75}"/>
            </c:ext>
          </c:extLst>
        </c:ser>
        <c:ser>
          <c:idx val="3"/>
          <c:order val="3"/>
          <c:tx>
            <c:strRef>
              <c:f>PrintStats!$N$7</c:f>
              <c:strCache>
                <c:ptCount val="1"/>
                <c:pt idx="0">
                  <c:v>Restore Time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PrintStats!$Q$3</c:f>
              <c:strCache>
                <c:ptCount val="1"/>
                <c:pt idx="0">
                  <c:v>2 GB - Time (ms)</c:v>
                </c:pt>
              </c:strCache>
            </c:strRef>
          </c:cat>
          <c:val>
            <c:numRef>
              <c:f>PrintStats!$Q$7</c:f>
              <c:numCache>
                <c:formatCode>#,##0.000</c:formatCode>
                <c:ptCount val="1"/>
                <c:pt idx="0">
                  <c:v>832.16600000000005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365-234F-90FD-3DE5D51E4D7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36624208"/>
        <c:axId val="736625920"/>
      </c:barChart>
      <c:catAx>
        <c:axId val="7366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5920"/>
        <c:crosses val="autoZero"/>
        <c:auto val="1"/>
        <c:lblAlgn val="ctr"/>
        <c:lblOffset val="100"/>
        <c:noMultiLvlLbl val="0"/>
      </c:catAx>
      <c:valAx>
        <c:axId val="736625920"/>
        <c:scaling>
          <c:orientation val="minMax"/>
          <c:max val="1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PrintStats!$N$4</c:f>
              <c:strCache>
                <c:ptCount val="1"/>
                <c:pt idx="0">
                  <c:v>Podman Overhead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BCA-ED4A-87E2-E7C6F1C384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PrintStats!$R$3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PrintStats!$R$4</c:f>
              <c:numCache>
                <c:formatCode>#,##0.000</c:formatCode>
                <c:ptCount val="1"/>
                <c:pt idx="0">
                  <c:v>11407.457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CA-ED4A-87E2-E7C6F1C38455}"/>
            </c:ext>
          </c:extLst>
        </c:ser>
        <c:ser>
          <c:idx val="1"/>
          <c:order val="1"/>
          <c:tx>
            <c:strRef>
              <c:f>PrintStats!$N$5</c:f>
              <c:strCache>
                <c:ptCount val="1"/>
                <c:pt idx="0">
                  <c:v>Runtime Overhead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PrintStats!$R$3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PrintStats!$R$5</c:f>
              <c:numCache>
                <c:formatCode>#,##0.000</c:formatCode>
                <c:ptCount val="1"/>
                <c:pt idx="0">
                  <c:v>78.724000000000004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CA-ED4A-87E2-E7C6F1C38455}"/>
            </c:ext>
          </c:extLst>
        </c:ser>
        <c:ser>
          <c:idx val="2"/>
          <c:order val="2"/>
          <c:tx>
            <c:strRef>
              <c:f>PrintStats!$N$6</c:f>
              <c:strCache>
                <c:ptCount val="1"/>
                <c:pt idx="0">
                  <c:v>Fork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6851851851851855"/>
                  <c:y val="-4.6296296296296294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CA-ED4A-87E2-E7C6F1C384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PrintStats!$R$3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PrintStats!$R$6</c:f>
              <c:numCache>
                <c:formatCode>#,##0.000</c:formatCode>
                <c:ptCount val="1"/>
                <c:pt idx="0">
                  <c:v>3.0000000000000001E-3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CA-ED4A-87E2-E7C6F1C38455}"/>
            </c:ext>
          </c:extLst>
        </c:ser>
        <c:ser>
          <c:idx val="3"/>
          <c:order val="3"/>
          <c:tx>
            <c:strRef>
              <c:f>PrintStats!$N$7</c:f>
              <c:strCache>
                <c:ptCount val="1"/>
                <c:pt idx="0">
                  <c:v>Restore Time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PrintStats!$R$3</c:f>
              <c:strCache>
                <c:ptCount val="1"/>
                <c:pt idx="0">
                  <c:v>3 GB - Time (ms)</c:v>
                </c:pt>
              </c:strCache>
            </c:strRef>
          </c:cat>
          <c:val>
            <c:numRef>
              <c:f>PrintStats!$R$7</c:f>
              <c:numCache>
                <c:formatCode>#,##0.000</c:formatCode>
                <c:ptCount val="1"/>
                <c:pt idx="0">
                  <c:v>1144.797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CA-ED4A-87E2-E7C6F1C3845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36624208"/>
        <c:axId val="736625920"/>
      </c:barChart>
      <c:catAx>
        <c:axId val="7366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5920"/>
        <c:crosses val="autoZero"/>
        <c:auto val="1"/>
        <c:lblAlgn val="ctr"/>
        <c:lblOffset val="100"/>
        <c:noMultiLvlLbl val="0"/>
      </c:catAx>
      <c:valAx>
        <c:axId val="73662592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62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Operating time of target programs with different memory sizes</a:t>
            </a:r>
            <a:r>
              <a:rPr lang="zh-CN" altLang="en-US" b="1"/>
              <a:t> </a:t>
            </a:r>
            <a:r>
              <a:rPr lang="en-US" altLang="zh-CN" b="1"/>
              <a:t>@er078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'c6620'!$C$1</c:f>
              <c:strCache>
                <c:ptCount val="1"/>
                <c:pt idx="0">
                  <c:v>Snapshot (ms)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'c6620'!$B$2:$B$8</c:f>
              <c:numCache>
                <c:formatCode>#,##0</c:formatCode>
                <c:ptCount val="7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  <c:pt idx="6">
                  <c:v>2095.08203125</c:v>
                </c:pt>
              </c:numCache>
            </c:numRef>
          </c:xVal>
          <c:yVal>
            <c:numRef>
              <c:f>'c6620'!$C$2:$C$8</c:f>
              <c:numCache>
                <c:formatCode>#,##0.000</c:formatCode>
                <c:ptCount val="7"/>
                <c:pt idx="0">
                  <c:v>513.08699999999999</c:v>
                </c:pt>
                <c:pt idx="1">
                  <c:v>733.81700000000001</c:v>
                </c:pt>
                <c:pt idx="2">
                  <c:v>907.32100000000003</c:v>
                </c:pt>
                <c:pt idx="3">
                  <c:v>1260.5640000000001</c:v>
                </c:pt>
                <c:pt idx="4">
                  <c:v>1731.1210000000001</c:v>
                </c:pt>
                <c:pt idx="5">
                  <c:v>2897.3240000000001</c:v>
                </c:pt>
                <c:pt idx="6">
                  <c:v>4972.2730000000001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BD-DA43-AC5D-D863E273457B}"/>
            </c:ext>
          </c:extLst>
        </c:ser>
        <c:ser>
          <c:idx val="1"/>
          <c:order val="1"/>
          <c:tx>
            <c:strRef>
              <c:f>'c6620'!$D$1</c:f>
              <c:strCache>
                <c:ptCount val="1"/>
                <c:pt idx="0">
                  <c:v>Container (ms)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'c6620'!$B$2:$B$8</c:f>
              <c:numCache>
                <c:formatCode>#,##0</c:formatCode>
                <c:ptCount val="7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  <c:pt idx="6">
                  <c:v>2095.08203125</c:v>
                </c:pt>
              </c:numCache>
            </c:numRef>
          </c:xVal>
          <c:yVal>
            <c:numRef>
              <c:f>'c6620'!$D$2:$D$8</c:f>
              <c:numCache>
                <c:formatCode>#,##0.000</c:formatCode>
                <c:ptCount val="7"/>
                <c:pt idx="0">
                  <c:v>523.06600000000003</c:v>
                </c:pt>
                <c:pt idx="1">
                  <c:v>1025.3240000000001</c:v>
                </c:pt>
                <c:pt idx="2">
                  <c:v>1391.095</c:v>
                </c:pt>
                <c:pt idx="3">
                  <c:v>2107.569</c:v>
                </c:pt>
                <c:pt idx="4">
                  <c:v>3556.857</c:v>
                </c:pt>
                <c:pt idx="5">
                  <c:v>6491.76</c:v>
                </c:pt>
                <c:pt idx="6">
                  <c:v>12213.09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BD-DA43-AC5D-D863E273457B}"/>
            </c:ext>
          </c:extLst>
        </c:ser>
        <c:ser>
          <c:idx val="2"/>
          <c:order val="2"/>
          <c:tx>
            <c:strRef>
              <c:f>'c6620'!$E$1</c:f>
              <c:strCache>
                <c:ptCount val="1"/>
                <c:pt idx="0">
                  <c:v>Restore (ms)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'c6620'!$B$2:$B$8</c:f>
              <c:numCache>
                <c:formatCode>#,##0</c:formatCode>
                <c:ptCount val="7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  <c:pt idx="6">
                  <c:v>2095.08203125</c:v>
                </c:pt>
              </c:numCache>
            </c:numRef>
          </c:xVal>
          <c:yVal>
            <c:numRef>
              <c:f>'c6620'!$E$2:$E$8</c:f>
              <c:numCache>
                <c:formatCode>#,##0.000</c:formatCode>
                <c:ptCount val="7"/>
                <c:pt idx="0">
                  <c:v>1134.402</c:v>
                </c:pt>
                <c:pt idx="1">
                  <c:v>1631.5730000000001</c:v>
                </c:pt>
                <c:pt idx="2">
                  <c:v>2040.479</c:v>
                </c:pt>
                <c:pt idx="3">
                  <c:v>2715.9830000000002</c:v>
                </c:pt>
                <c:pt idx="4">
                  <c:v>4211.8890000000001</c:v>
                </c:pt>
                <c:pt idx="5">
                  <c:v>7143.8739999999998</c:v>
                </c:pt>
                <c:pt idx="6">
                  <c:v>12852.317999999999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BD-DA43-AC5D-D863E273457B}"/>
            </c:ext>
          </c:extLst>
        </c:ser>
        <c:ser>
          <c:idx val="3"/>
          <c:order val="3"/>
          <c:tx>
            <c:strRef>
              <c:f>'c6620'!$F$1</c:f>
              <c:strCache>
                <c:ptCount val="1"/>
                <c:pt idx="0">
                  <c:v>Time-B (ms)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'c6620'!$B$2:$B$8</c:f>
              <c:numCache>
                <c:formatCode>#,##0</c:formatCode>
                <c:ptCount val="7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  <c:pt idx="6">
                  <c:v>2095.08203125</c:v>
                </c:pt>
              </c:numCache>
            </c:numRef>
          </c:xVal>
          <c:yVal>
            <c:numRef>
              <c:f>'c6620'!$F$2:$F$8</c:f>
              <c:numCache>
                <c:formatCode>#,##0.000</c:formatCode>
                <c:ptCount val="7"/>
                <c:pt idx="0">
                  <c:v>5.4989999999999997</c:v>
                </c:pt>
                <c:pt idx="1">
                  <c:v>5.7539999999999996</c:v>
                </c:pt>
                <c:pt idx="2">
                  <c:v>5.101</c:v>
                </c:pt>
                <c:pt idx="3">
                  <c:v>5.4210000000000003</c:v>
                </c:pt>
                <c:pt idx="4">
                  <c:v>5.8689999999999998</c:v>
                </c:pt>
                <c:pt idx="5">
                  <c:v>5.04</c:v>
                </c:pt>
                <c:pt idx="6">
                  <c:v>5.92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BD-DA43-AC5D-D863E2734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2715376"/>
        <c:axId val="972621376"/>
      </c:scatterChart>
      <c:valAx>
        <c:axId val="972715376"/>
        <c:scaling>
          <c:orientation val="minMax"/>
          <c:max val="21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VmRss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621376"/>
        <c:crosses val="autoZero"/>
        <c:crossBetween val="midCat"/>
        <c:majorUnit val="100"/>
      </c:valAx>
      <c:valAx>
        <c:axId val="972621376"/>
        <c:scaling>
          <c:orientation val="minMax"/>
          <c:max val="2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</a:t>
                </a:r>
                <a:r>
                  <a:rPr lang="en-US" sz="1200" baseline="0"/>
                  <a:t> (ms)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715376"/>
        <c:crossesAt val="0"/>
        <c:crossBetween val="midCat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Overhead of target programs with different memory sizes (details)</a:t>
            </a:r>
            <a:r>
              <a:rPr lang="zh-CN" altLang="en-US"/>
              <a:t> </a:t>
            </a:r>
            <a:r>
              <a:rPr lang="en-US" altLang="zh-CN"/>
              <a:t>@er078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'c6620'!$C$1</c:f>
              <c:strCache>
                <c:ptCount val="1"/>
                <c:pt idx="0">
                  <c:v>Snapshot (ms)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'c6620'!$B$2:$B$7</c:f>
              <c:numCache>
                <c:formatCode>#,##0</c:formatCode>
                <c:ptCount val="6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</c:numCache>
            </c:numRef>
          </c:xVal>
          <c:yVal>
            <c:numRef>
              <c:f>'c6620'!$C$2:$C$7</c:f>
              <c:numCache>
                <c:formatCode>#,##0.000</c:formatCode>
                <c:ptCount val="6"/>
                <c:pt idx="0">
                  <c:v>513.08699999999999</c:v>
                </c:pt>
                <c:pt idx="1">
                  <c:v>733.81700000000001</c:v>
                </c:pt>
                <c:pt idx="2">
                  <c:v>907.32100000000003</c:v>
                </c:pt>
                <c:pt idx="3">
                  <c:v>1260.5640000000001</c:v>
                </c:pt>
                <c:pt idx="4">
                  <c:v>1731.1210000000001</c:v>
                </c:pt>
                <c:pt idx="5">
                  <c:v>2897.3240000000001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1E-1F4F-9635-2CCB4EAF64DC}"/>
            </c:ext>
          </c:extLst>
        </c:ser>
        <c:ser>
          <c:idx val="1"/>
          <c:order val="1"/>
          <c:tx>
            <c:strRef>
              <c:f>'c6620'!$D$1</c:f>
              <c:strCache>
                <c:ptCount val="1"/>
                <c:pt idx="0">
                  <c:v>Container (ms)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'c6620'!$B$2:$B$7</c:f>
              <c:numCache>
                <c:formatCode>#,##0</c:formatCode>
                <c:ptCount val="6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</c:numCache>
            </c:numRef>
          </c:xVal>
          <c:yVal>
            <c:numRef>
              <c:f>'c6620'!$D$2:$D$7</c:f>
              <c:numCache>
                <c:formatCode>#,##0.000</c:formatCode>
                <c:ptCount val="6"/>
                <c:pt idx="0">
                  <c:v>523.06600000000003</c:v>
                </c:pt>
                <c:pt idx="1">
                  <c:v>1025.3240000000001</c:v>
                </c:pt>
                <c:pt idx="2">
                  <c:v>1391.095</c:v>
                </c:pt>
                <c:pt idx="3">
                  <c:v>2107.569</c:v>
                </c:pt>
                <c:pt idx="4">
                  <c:v>3556.857</c:v>
                </c:pt>
                <c:pt idx="5">
                  <c:v>6491.76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1E-1F4F-9635-2CCB4EAF64DC}"/>
            </c:ext>
          </c:extLst>
        </c:ser>
        <c:ser>
          <c:idx val="2"/>
          <c:order val="2"/>
          <c:tx>
            <c:strRef>
              <c:f>'c6620'!$E$1</c:f>
              <c:strCache>
                <c:ptCount val="1"/>
                <c:pt idx="0">
                  <c:v>Restore (ms)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'c6620'!$B$2:$B$7</c:f>
              <c:numCache>
                <c:formatCode>#,##0</c:formatCode>
                <c:ptCount val="6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</c:numCache>
            </c:numRef>
          </c:xVal>
          <c:yVal>
            <c:numRef>
              <c:f>'c6620'!$E$2:$E$7</c:f>
              <c:numCache>
                <c:formatCode>#,##0.000</c:formatCode>
                <c:ptCount val="6"/>
                <c:pt idx="0">
                  <c:v>1134.402</c:v>
                </c:pt>
                <c:pt idx="1">
                  <c:v>1631.5730000000001</c:v>
                </c:pt>
                <c:pt idx="2">
                  <c:v>2040.479</c:v>
                </c:pt>
                <c:pt idx="3">
                  <c:v>2715.9830000000002</c:v>
                </c:pt>
                <c:pt idx="4">
                  <c:v>4211.8890000000001</c:v>
                </c:pt>
                <c:pt idx="5">
                  <c:v>7143.8739999999998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1E-1F4F-9635-2CCB4EAF64DC}"/>
            </c:ext>
          </c:extLst>
        </c:ser>
        <c:ser>
          <c:idx val="3"/>
          <c:order val="3"/>
          <c:tx>
            <c:strRef>
              <c:f>'c6620'!$F$1</c:f>
              <c:strCache>
                <c:ptCount val="1"/>
                <c:pt idx="0">
                  <c:v>Time-B (ms)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'c6620'!$B$2:$B$7</c:f>
              <c:numCache>
                <c:formatCode>#,##0</c:formatCode>
                <c:ptCount val="6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</c:numCache>
            </c:numRef>
          </c:xVal>
          <c:yVal>
            <c:numRef>
              <c:f>'c6620'!$F$2:$F$7</c:f>
              <c:numCache>
                <c:formatCode>#,##0.000</c:formatCode>
                <c:ptCount val="6"/>
                <c:pt idx="0">
                  <c:v>5.4989999999999997</c:v>
                </c:pt>
                <c:pt idx="1">
                  <c:v>5.7539999999999996</c:v>
                </c:pt>
                <c:pt idx="2">
                  <c:v>5.101</c:v>
                </c:pt>
                <c:pt idx="3">
                  <c:v>5.4210000000000003</c:v>
                </c:pt>
                <c:pt idx="4">
                  <c:v>5.8689999999999998</c:v>
                </c:pt>
                <c:pt idx="5">
                  <c:v>5.04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1E-1F4F-9635-2CCB4EAF6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2715376"/>
        <c:axId val="972621376"/>
      </c:scatterChart>
      <c:scatterChart>
        <c:scatterStyle val="lineMarker"/>
        <c:varyColors val="0"/>
        <c:ser>
          <c:idx val="4"/>
          <c:order val="4"/>
          <c:tx>
            <c:strRef>
              <c:f>'c6620'!$G$1</c:f>
              <c:strCache>
                <c:ptCount val="1"/>
                <c:pt idx="0">
                  <c:v>Storage (MB)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'c6620'!$B$2:$B$7</c:f>
              <c:numCache>
                <c:formatCode>#,##0</c:formatCode>
                <c:ptCount val="6"/>
                <c:pt idx="0">
                  <c:v>40.919921875</c:v>
                </c:pt>
                <c:pt idx="1">
                  <c:v>114.7509765625</c:v>
                </c:pt>
                <c:pt idx="2">
                  <c:v>174.9248046875</c:v>
                </c:pt>
                <c:pt idx="3">
                  <c:v>306.873046875</c:v>
                </c:pt>
                <c:pt idx="4">
                  <c:v>562.923828125</c:v>
                </c:pt>
                <c:pt idx="5">
                  <c:v>1074.92578125</c:v>
                </c:pt>
              </c:numCache>
            </c:numRef>
          </c:xVal>
          <c:yVal>
            <c:numRef>
              <c:f>'c6620'!$G$2:$G$7</c:f>
              <c:numCache>
                <c:formatCode>#,##0.000</c:formatCode>
                <c:ptCount val="6"/>
                <c:pt idx="0">
                  <c:v>6.9550000000000001</c:v>
                </c:pt>
                <c:pt idx="1">
                  <c:v>8.2739999999999991</c:v>
                </c:pt>
                <c:pt idx="2">
                  <c:v>8.3260000000000005</c:v>
                </c:pt>
                <c:pt idx="3">
                  <c:v>8.3030000000000008</c:v>
                </c:pt>
                <c:pt idx="4">
                  <c:v>8.3350000000000009</c:v>
                </c:pt>
                <c:pt idx="5">
                  <c:v>8.4320000000000004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31E-1F4F-9635-2CCB4EAF6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868768"/>
        <c:axId val="419930992"/>
      </c:scatterChart>
      <c:valAx>
        <c:axId val="972715376"/>
        <c:scaling>
          <c:orientation val="minMax"/>
          <c:max val="1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VmRss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621376"/>
        <c:crosses val="autoZero"/>
        <c:crossBetween val="midCat"/>
        <c:majorUnit val="100"/>
      </c:valAx>
      <c:valAx>
        <c:axId val="97262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Time</a:t>
                </a:r>
                <a:r>
                  <a:rPr lang="en-US" sz="1400" baseline="0"/>
                  <a:t> (ms)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715376"/>
        <c:crossesAt val="0"/>
        <c:crossBetween val="midCat"/>
        <c:majorUnit val="1000"/>
      </c:valAx>
      <c:valAx>
        <c:axId val="419930992"/>
        <c:scaling>
          <c:orientation val="minMax"/>
          <c:min val="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Size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868768"/>
        <c:crosses val="max"/>
        <c:crossBetween val="midCat"/>
      </c:valAx>
      <c:valAx>
        <c:axId val="419868768"/>
        <c:scaling>
          <c:orientation val="minMax"/>
        </c:scaling>
        <c:delete val="1"/>
        <c:axPos val="b"/>
        <c:numFmt formatCode="#,##0" sourceLinked="1"/>
        <c:majorTickMark val="out"/>
        <c:minorTickMark val="none"/>
        <c:tickLblPos val="nextTo"/>
        <c:crossAx val="4199309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Operating time of target programs with different memory sizes</a:t>
            </a:r>
            <a:r>
              <a:rPr lang="zh-CN" altLang="en-US" b="1"/>
              <a:t> </a:t>
            </a:r>
            <a:r>
              <a:rPr lang="en-US" altLang="zh-CN" b="1"/>
              <a:t>@EC2-232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brsys!$D$1</c:f>
              <c:strCache>
                <c:ptCount val="1"/>
                <c:pt idx="0">
                  <c:v>Snapshot (ms)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brsys!$C$2:$C$8</c:f>
              <c:numCache>
                <c:formatCode>#,##0</c:formatCode>
                <c:ptCount val="7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  <c:pt idx="6">
                  <c:v>2098.388671875</c:v>
                </c:pt>
              </c:numCache>
            </c:numRef>
          </c:xVal>
          <c:yVal>
            <c:numRef>
              <c:f>brsys!$D$2:$D$8</c:f>
              <c:numCache>
                <c:formatCode>#,##0.000</c:formatCode>
                <c:ptCount val="7"/>
                <c:pt idx="0">
                  <c:v>549.63400000000001</c:v>
                </c:pt>
                <c:pt idx="1">
                  <c:v>825.74300000000005</c:v>
                </c:pt>
                <c:pt idx="2">
                  <c:v>1012.967</c:v>
                </c:pt>
                <c:pt idx="3">
                  <c:v>1852.9179999999999</c:v>
                </c:pt>
                <c:pt idx="4">
                  <c:v>3419.1759999999999</c:v>
                </c:pt>
                <c:pt idx="5">
                  <c:v>7490.2830000000004</c:v>
                </c:pt>
                <c:pt idx="6">
                  <c:v>27071.938999999998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39-6F4C-BBE1-4413BECB6CDB}"/>
            </c:ext>
          </c:extLst>
        </c:ser>
        <c:ser>
          <c:idx val="1"/>
          <c:order val="1"/>
          <c:tx>
            <c:strRef>
              <c:f>brsys!$E$1</c:f>
              <c:strCache>
                <c:ptCount val="1"/>
                <c:pt idx="0">
                  <c:v>Container (ms)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brsys!$C$2:$C$8</c:f>
              <c:numCache>
                <c:formatCode>#,##0</c:formatCode>
                <c:ptCount val="7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  <c:pt idx="6">
                  <c:v>2098.388671875</c:v>
                </c:pt>
              </c:numCache>
            </c:numRef>
          </c:xVal>
          <c:yVal>
            <c:numRef>
              <c:f>brsys!$E$2:$E$8</c:f>
              <c:numCache>
                <c:formatCode>#,##0.000</c:formatCode>
                <c:ptCount val="7"/>
                <c:pt idx="0">
                  <c:v>708.18299999999999</c:v>
                </c:pt>
                <c:pt idx="1">
                  <c:v>1040.9069999999999</c:v>
                </c:pt>
                <c:pt idx="2">
                  <c:v>1348.711</c:v>
                </c:pt>
                <c:pt idx="3">
                  <c:v>1846.9259999999999</c:v>
                </c:pt>
                <c:pt idx="4">
                  <c:v>2844.817</c:v>
                </c:pt>
                <c:pt idx="5">
                  <c:v>5688.47</c:v>
                </c:pt>
                <c:pt idx="6">
                  <c:v>15711.916999999999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39-6F4C-BBE1-4413BECB6CDB}"/>
            </c:ext>
          </c:extLst>
        </c:ser>
        <c:ser>
          <c:idx val="2"/>
          <c:order val="2"/>
          <c:tx>
            <c:strRef>
              <c:f>brsys!$F$1</c:f>
              <c:strCache>
                <c:ptCount val="1"/>
                <c:pt idx="0">
                  <c:v>Restore (ms)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brsys!$C$2:$C$8</c:f>
              <c:numCache>
                <c:formatCode>#,##0</c:formatCode>
                <c:ptCount val="7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  <c:pt idx="6">
                  <c:v>2098.388671875</c:v>
                </c:pt>
              </c:numCache>
            </c:numRef>
          </c:xVal>
          <c:yVal>
            <c:numRef>
              <c:f>brsys!$F$2:$F$8</c:f>
              <c:numCache>
                <c:formatCode>#,##0.000</c:formatCode>
                <c:ptCount val="7"/>
                <c:pt idx="0">
                  <c:v>1314.886</c:v>
                </c:pt>
                <c:pt idx="1">
                  <c:v>1716.652</c:v>
                </c:pt>
                <c:pt idx="2">
                  <c:v>1985.335</c:v>
                </c:pt>
                <c:pt idx="3">
                  <c:v>2450.377</c:v>
                </c:pt>
                <c:pt idx="4">
                  <c:v>3648.248</c:v>
                </c:pt>
                <c:pt idx="5">
                  <c:v>6492.9489999999996</c:v>
                </c:pt>
                <c:pt idx="6">
                  <c:v>16150.834000000001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839-6F4C-BBE1-4413BECB6CDB}"/>
            </c:ext>
          </c:extLst>
        </c:ser>
        <c:ser>
          <c:idx val="3"/>
          <c:order val="3"/>
          <c:tx>
            <c:strRef>
              <c:f>brsys!$G$1</c:f>
              <c:strCache>
                <c:ptCount val="1"/>
                <c:pt idx="0">
                  <c:v>Time-B (ms)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brsys!$C$2:$C$8</c:f>
              <c:numCache>
                <c:formatCode>#,##0</c:formatCode>
                <c:ptCount val="7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  <c:pt idx="6">
                  <c:v>2098.388671875</c:v>
                </c:pt>
              </c:numCache>
            </c:numRef>
          </c:xVal>
          <c:yVal>
            <c:numRef>
              <c:f>brsys!$G$2:$G$8</c:f>
              <c:numCache>
                <c:formatCode>#,##0.000</c:formatCode>
                <c:ptCount val="7"/>
                <c:pt idx="0">
                  <c:v>3.427</c:v>
                </c:pt>
                <c:pt idx="1">
                  <c:v>3.4849999999999999</c:v>
                </c:pt>
                <c:pt idx="2">
                  <c:v>3.5630000000000002</c:v>
                </c:pt>
                <c:pt idx="3">
                  <c:v>3.6739999999999999</c:v>
                </c:pt>
                <c:pt idx="4">
                  <c:v>3.6850000000000001</c:v>
                </c:pt>
                <c:pt idx="5">
                  <c:v>3.4049999999999998</c:v>
                </c:pt>
                <c:pt idx="6">
                  <c:v>3.9159999999999999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839-6F4C-BBE1-4413BECB6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2715376"/>
        <c:axId val="972621376"/>
      </c:scatterChart>
      <c:valAx>
        <c:axId val="972715376"/>
        <c:scaling>
          <c:orientation val="minMax"/>
          <c:max val="21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VmRss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621376"/>
        <c:crosses val="autoZero"/>
        <c:crossBetween val="midCat"/>
        <c:majorUnit val="100"/>
      </c:valAx>
      <c:valAx>
        <c:axId val="97262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</a:t>
                </a:r>
                <a:r>
                  <a:rPr lang="en-US" sz="1200" baseline="0"/>
                  <a:t> (ms)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715376"/>
        <c:crossesAt val="0"/>
        <c:crossBetween val="midCat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Overhead of target programs with different memory sizes (details)</a:t>
            </a:r>
            <a:r>
              <a:rPr lang="zh-CN" altLang="en-US"/>
              <a:t> </a:t>
            </a:r>
            <a:r>
              <a:rPr lang="en-US" altLang="zh-CN"/>
              <a:t>@EC2-232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brsys!$D$1</c:f>
              <c:strCache>
                <c:ptCount val="1"/>
                <c:pt idx="0">
                  <c:v>Snapshot (ms)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brsys!$C$2:$C$7</c:f>
              <c:numCache>
                <c:formatCode>#,##0</c:formatCode>
                <c:ptCount val="6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</c:numCache>
            </c:numRef>
          </c:xVal>
          <c:yVal>
            <c:numRef>
              <c:f>brsys!$D$2:$D$7</c:f>
              <c:numCache>
                <c:formatCode>#,##0.000</c:formatCode>
                <c:ptCount val="6"/>
                <c:pt idx="0">
                  <c:v>549.63400000000001</c:v>
                </c:pt>
                <c:pt idx="1">
                  <c:v>825.74300000000005</c:v>
                </c:pt>
                <c:pt idx="2">
                  <c:v>1012.967</c:v>
                </c:pt>
                <c:pt idx="3">
                  <c:v>1852.9179999999999</c:v>
                </c:pt>
                <c:pt idx="4">
                  <c:v>3419.1759999999999</c:v>
                </c:pt>
                <c:pt idx="5">
                  <c:v>7490.2830000000004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41-0A41-8F43-0D228433A925}"/>
            </c:ext>
          </c:extLst>
        </c:ser>
        <c:ser>
          <c:idx val="1"/>
          <c:order val="1"/>
          <c:tx>
            <c:strRef>
              <c:f>brsys!$E$1</c:f>
              <c:strCache>
                <c:ptCount val="1"/>
                <c:pt idx="0">
                  <c:v>Container (ms)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brsys!$C$2:$C$7</c:f>
              <c:numCache>
                <c:formatCode>#,##0</c:formatCode>
                <c:ptCount val="6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</c:numCache>
            </c:numRef>
          </c:xVal>
          <c:yVal>
            <c:numRef>
              <c:f>brsys!$E$2:$E$7</c:f>
              <c:numCache>
                <c:formatCode>#,##0.000</c:formatCode>
                <c:ptCount val="6"/>
                <c:pt idx="0">
                  <c:v>708.18299999999999</c:v>
                </c:pt>
                <c:pt idx="1">
                  <c:v>1040.9069999999999</c:v>
                </c:pt>
                <c:pt idx="2">
                  <c:v>1348.711</c:v>
                </c:pt>
                <c:pt idx="3">
                  <c:v>1846.9259999999999</c:v>
                </c:pt>
                <c:pt idx="4">
                  <c:v>2844.817</c:v>
                </c:pt>
                <c:pt idx="5">
                  <c:v>5688.47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41-0A41-8F43-0D228433A925}"/>
            </c:ext>
          </c:extLst>
        </c:ser>
        <c:ser>
          <c:idx val="2"/>
          <c:order val="2"/>
          <c:tx>
            <c:strRef>
              <c:f>brsys!$F$1</c:f>
              <c:strCache>
                <c:ptCount val="1"/>
                <c:pt idx="0">
                  <c:v>Restore (ms)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brsys!$C$2:$C$7</c:f>
              <c:numCache>
                <c:formatCode>#,##0</c:formatCode>
                <c:ptCount val="6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</c:numCache>
            </c:numRef>
          </c:xVal>
          <c:yVal>
            <c:numRef>
              <c:f>brsys!$F$2:$F$7</c:f>
              <c:numCache>
                <c:formatCode>#,##0.000</c:formatCode>
                <c:ptCount val="6"/>
                <c:pt idx="0">
                  <c:v>1314.886</c:v>
                </c:pt>
                <c:pt idx="1">
                  <c:v>1716.652</c:v>
                </c:pt>
                <c:pt idx="2">
                  <c:v>1985.335</c:v>
                </c:pt>
                <c:pt idx="3">
                  <c:v>2450.377</c:v>
                </c:pt>
                <c:pt idx="4">
                  <c:v>3648.248</c:v>
                </c:pt>
                <c:pt idx="5">
                  <c:v>6492.9489999999996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41-0A41-8F43-0D228433A925}"/>
            </c:ext>
          </c:extLst>
        </c:ser>
        <c:ser>
          <c:idx val="3"/>
          <c:order val="3"/>
          <c:tx>
            <c:strRef>
              <c:f>brsys!$G$1</c:f>
              <c:strCache>
                <c:ptCount val="1"/>
                <c:pt idx="0">
                  <c:v>Time-B (ms)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brsys!$C$2:$C$7</c:f>
              <c:numCache>
                <c:formatCode>#,##0</c:formatCode>
                <c:ptCount val="6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</c:numCache>
            </c:numRef>
          </c:xVal>
          <c:yVal>
            <c:numRef>
              <c:f>brsys!$G$2:$G$7</c:f>
              <c:numCache>
                <c:formatCode>#,##0.000</c:formatCode>
                <c:ptCount val="6"/>
                <c:pt idx="0">
                  <c:v>3.427</c:v>
                </c:pt>
                <c:pt idx="1">
                  <c:v>3.4849999999999999</c:v>
                </c:pt>
                <c:pt idx="2">
                  <c:v>3.5630000000000002</c:v>
                </c:pt>
                <c:pt idx="3">
                  <c:v>3.6739999999999999</c:v>
                </c:pt>
                <c:pt idx="4">
                  <c:v>3.6850000000000001</c:v>
                </c:pt>
                <c:pt idx="5">
                  <c:v>3.4049999999999998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41-0A41-8F43-0D228433A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2715376"/>
        <c:axId val="972621376"/>
      </c:scatterChart>
      <c:scatterChart>
        <c:scatterStyle val="lineMarker"/>
        <c:varyColors val="0"/>
        <c:ser>
          <c:idx val="4"/>
          <c:order val="4"/>
          <c:tx>
            <c:strRef>
              <c:f>brsys!$H$1</c:f>
              <c:strCache>
                <c:ptCount val="1"/>
                <c:pt idx="0">
                  <c:v>Storage (MB)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brsys!$C$2:$C$7</c:f>
              <c:numCache>
                <c:formatCode>#,##0</c:formatCode>
                <c:ptCount val="6"/>
                <c:pt idx="0">
                  <c:v>42.765625</c:v>
                </c:pt>
                <c:pt idx="1">
                  <c:v>115.3974609375</c:v>
                </c:pt>
                <c:pt idx="2">
                  <c:v>182.265625</c:v>
                </c:pt>
                <c:pt idx="3">
                  <c:v>304.212890625</c:v>
                </c:pt>
                <c:pt idx="4">
                  <c:v>560.228515625</c:v>
                </c:pt>
                <c:pt idx="5">
                  <c:v>1072.216796875</c:v>
                </c:pt>
              </c:numCache>
            </c:numRef>
          </c:xVal>
          <c:yVal>
            <c:numRef>
              <c:f>brsys!$H$2:$H$7</c:f>
              <c:numCache>
                <c:formatCode>#,##0.000</c:formatCode>
                <c:ptCount val="6"/>
                <c:pt idx="0">
                  <c:v>6.9390000000000001</c:v>
                </c:pt>
                <c:pt idx="1">
                  <c:v>8.26</c:v>
                </c:pt>
                <c:pt idx="2">
                  <c:v>8.2739999999999991</c:v>
                </c:pt>
                <c:pt idx="3">
                  <c:v>8.3059999999999992</c:v>
                </c:pt>
                <c:pt idx="4">
                  <c:v>8.3460000000000001</c:v>
                </c:pt>
                <c:pt idx="5">
                  <c:v>8.4499999999999993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41-0A41-8F43-0D228433A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868768"/>
        <c:axId val="419930992"/>
      </c:scatterChart>
      <c:valAx>
        <c:axId val="972715376"/>
        <c:scaling>
          <c:orientation val="minMax"/>
          <c:max val="1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VmRss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621376"/>
        <c:crosses val="autoZero"/>
        <c:crossBetween val="midCat"/>
        <c:majorUnit val="100"/>
      </c:valAx>
      <c:valAx>
        <c:axId val="97262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Time</a:t>
                </a:r>
                <a:r>
                  <a:rPr lang="en-US" sz="1400" baseline="0"/>
                  <a:t> (ms)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715376"/>
        <c:crossesAt val="0"/>
        <c:crossBetween val="midCat"/>
        <c:majorUnit val="1000"/>
      </c:valAx>
      <c:valAx>
        <c:axId val="419930992"/>
        <c:scaling>
          <c:orientation val="minMax"/>
          <c:min val="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Size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868768"/>
        <c:crosses val="max"/>
        <c:crossBetween val="midCat"/>
      </c:valAx>
      <c:valAx>
        <c:axId val="419868768"/>
        <c:scaling>
          <c:orientation val="minMax"/>
        </c:scaling>
        <c:delete val="1"/>
        <c:axPos val="b"/>
        <c:numFmt formatCode="#,##0" sourceLinked="1"/>
        <c:majorTickMark val="out"/>
        <c:minorTickMark val="none"/>
        <c:tickLblPos val="nextTo"/>
        <c:crossAx val="4199309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279400</xdr:colOff>
      <xdr:row>20</xdr:row>
      <xdr:rowOff>101600</xdr:rowOff>
    </xdr:from>
    <xdr:to>
      <xdr:col>9</xdr:col>
      <xdr:colOff>1485900</xdr:colOff>
      <xdr:row>40</xdr:row>
      <xdr:rowOff>203200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7CF38BB6-2052-EC61-65DB-014B9A1D91EB}"/>
            </a:ext>
          </a:extLst>
        </xdr:cNvPr>
        <xdr:cNvGrpSpPr/>
      </xdr:nvGrpSpPr>
      <xdr:grpSpPr>
        <a:xfrm>
          <a:off x="279400" y="7594600"/>
          <a:ext cx="10312400" cy="5486400"/>
          <a:chOff x="139700" y="6946900"/>
          <a:chExt cx="11531600" cy="5486400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08CC2A83-DC29-AC16-01D2-D36878C5BFB3}"/>
              </a:ext>
            </a:extLst>
          </xdr:cNvPr>
          <xdr:cNvGraphicFramePr/>
        </xdr:nvGraphicFramePr>
        <xdr:xfrm>
          <a:off x="139700" y="6946900"/>
          <a:ext cx="2743200" cy="5486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E98CC19A-1791-914E-99AA-563F43D17959}"/>
              </a:ext>
            </a:extLst>
          </xdr:cNvPr>
          <xdr:cNvGraphicFramePr>
            <a:graphicFrameLocks/>
          </xdr:cNvGraphicFramePr>
        </xdr:nvGraphicFramePr>
        <xdr:xfrm>
          <a:off x="3069167" y="6946900"/>
          <a:ext cx="2743200" cy="5486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D1A13471-A25A-004A-B560-5D5A1A9E4303}"/>
              </a:ext>
            </a:extLst>
          </xdr:cNvPr>
          <xdr:cNvGraphicFramePr>
            <a:graphicFrameLocks/>
          </xdr:cNvGraphicFramePr>
        </xdr:nvGraphicFramePr>
        <xdr:xfrm>
          <a:off x="5998634" y="6946900"/>
          <a:ext cx="2743200" cy="5486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8027A641-E046-064A-9B78-6B27F22EB187}"/>
              </a:ext>
            </a:extLst>
          </xdr:cNvPr>
          <xdr:cNvGraphicFramePr>
            <a:graphicFrameLocks/>
          </xdr:cNvGraphicFramePr>
        </xdr:nvGraphicFramePr>
        <xdr:xfrm>
          <a:off x="8928100" y="6946900"/>
          <a:ext cx="2743200" cy="5486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10</xdr:col>
      <xdr:colOff>0</xdr:colOff>
      <xdr:row>16</xdr:row>
      <xdr:rowOff>165100</xdr:rowOff>
    </xdr:from>
    <xdr:to>
      <xdr:col>19</xdr:col>
      <xdr:colOff>622300</xdr:colOff>
      <xdr:row>34</xdr:row>
      <xdr:rowOff>190500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31B195E5-B252-73D7-0226-1E4A06D95E4F}"/>
            </a:ext>
          </a:extLst>
        </xdr:cNvPr>
        <xdr:cNvGrpSpPr/>
      </xdr:nvGrpSpPr>
      <xdr:grpSpPr>
        <a:xfrm>
          <a:off x="10693400" y="6134100"/>
          <a:ext cx="11023600" cy="5486400"/>
          <a:chOff x="13322300" y="5892800"/>
          <a:chExt cx="11595100" cy="5486400"/>
        </a:xfrm>
      </xdr:grpSpPr>
      <xdr:graphicFrame macro="">
        <xdr:nvGraphicFramePr>
          <xdr:cNvPr id="8" name="Chart 7">
            <a:extLst>
              <a:ext uri="{FF2B5EF4-FFF2-40B4-BE49-F238E27FC236}">
                <a16:creationId xmlns:a16="http://schemas.microsoft.com/office/drawing/2014/main" id="{05C3AD34-4F95-9C45-B80B-D3B558A8F438}"/>
              </a:ext>
            </a:extLst>
          </xdr:cNvPr>
          <xdr:cNvGraphicFramePr>
            <a:graphicFrameLocks/>
          </xdr:cNvGraphicFramePr>
        </xdr:nvGraphicFramePr>
        <xdr:xfrm>
          <a:off x="13322300" y="5892800"/>
          <a:ext cx="2743200" cy="5486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6374DE66-D7CD-6545-BD0E-8D1AA5F4409F}"/>
              </a:ext>
            </a:extLst>
          </xdr:cNvPr>
          <xdr:cNvGraphicFramePr>
            <a:graphicFrameLocks/>
          </xdr:cNvGraphicFramePr>
        </xdr:nvGraphicFramePr>
        <xdr:xfrm>
          <a:off x="16272933" y="5892800"/>
          <a:ext cx="2743200" cy="5486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Chart 9">
            <a:extLst>
              <a:ext uri="{FF2B5EF4-FFF2-40B4-BE49-F238E27FC236}">
                <a16:creationId xmlns:a16="http://schemas.microsoft.com/office/drawing/2014/main" id="{9D528856-1678-924D-98CE-5C4A643CC106}"/>
              </a:ext>
            </a:extLst>
          </xdr:cNvPr>
          <xdr:cNvGraphicFramePr>
            <a:graphicFrameLocks/>
          </xdr:cNvGraphicFramePr>
        </xdr:nvGraphicFramePr>
        <xdr:xfrm>
          <a:off x="19223566" y="5892800"/>
          <a:ext cx="2743200" cy="5486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1" name="Chart 10">
            <a:extLst>
              <a:ext uri="{FF2B5EF4-FFF2-40B4-BE49-F238E27FC236}">
                <a16:creationId xmlns:a16="http://schemas.microsoft.com/office/drawing/2014/main" id="{F3E2FFCE-4430-7E4D-892B-9A98C56AF64A}"/>
              </a:ext>
            </a:extLst>
          </xdr:cNvPr>
          <xdr:cNvGraphicFramePr>
            <a:graphicFrameLocks/>
          </xdr:cNvGraphicFramePr>
        </xdr:nvGraphicFramePr>
        <xdr:xfrm>
          <a:off x="22174200" y="5892800"/>
          <a:ext cx="2743200" cy="5486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9</xdr:row>
      <xdr:rowOff>31750</xdr:rowOff>
    </xdr:from>
    <xdr:to>
      <xdr:col>25</xdr:col>
      <xdr:colOff>368300</xdr:colOff>
      <xdr:row>62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B82087-634B-164B-AF25-31319DCC1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1409700</xdr:colOff>
      <xdr:row>9</xdr:row>
      <xdr:rowOff>0</xdr:rowOff>
    </xdr:from>
    <xdr:to>
      <xdr:col>9</xdr:col>
      <xdr:colOff>685800</xdr:colOff>
      <xdr:row>62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524F92-FFE4-7D45-9CC2-16D0CACA9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914400</xdr:colOff>
      <xdr:row>9</xdr:row>
      <xdr:rowOff>31750</xdr:rowOff>
    </xdr:from>
    <xdr:to>
      <xdr:col>23</xdr:col>
      <xdr:colOff>762000</xdr:colOff>
      <xdr:row>62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ADDF44-80EC-0F59-3C16-27FFB1FADC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1409700</xdr:colOff>
      <xdr:row>9</xdr:row>
      <xdr:rowOff>0</xdr:rowOff>
    </xdr:from>
    <xdr:to>
      <xdr:col>8</xdr:col>
      <xdr:colOff>1511300</xdr:colOff>
      <xdr:row>62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F52AE6-BBF2-6941-9867-FEECFE370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533C2-EB56-4A4E-A56E-7B1B185309E4}">
  <dimension ref="A1:R26"/>
  <sheetViews>
    <sheetView tabSelected="1" workbookViewId="0">
      <selection activeCell="Q24" sqref="Q24"/>
    </sheetView>
  </sheetViews>
  <sheetFormatPr baseColWidth="10" defaultRowHeight="19" x14ac:dyDescent="0.2"/>
  <cols>
    <col min="1" max="3" width="3.83203125" style="9" customWidth="1"/>
    <col min="4" max="8" width="20.83203125" style="9" customWidth="1"/>
    <col min="9" max="11" width="3.83203125" style="9" customWidth="1"/>
    <col min="12" max="16" width="20.83203125" style="9" customWidth="1"/>
    <col min="17" max="16384" width="10.83203125" style="9"/>
  </cols>
  <sheetData>
    <row r="1" spans="1:18" ht="30" customHeight="1" x14ac:dyDescent="0.2">
      <c r="A1" s="81" t="s">
        <v>75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0"/>
      <c r="Q1" s="80"/>
      <c r="R1" s="80"/>
    </row>
    <row r="2" spans="1:18" ht="20" thickBot="1" x14ac:dyDescent="0.25"/>
    <row r="3" spans="1:18" ht="30" customHeight="1" x14ac:dyDescent="0.2">
      <c r="A3" s="48" t="s">
        <v>42</v>
      </c>
      <c r="B3" s="49"/>
      <c r="C3" s="49"/>
      <c r="D3" s="79" t="s">
        <v>54</v>
      </c>
      <c r="E3" s="35" t="s">
        <v>76</v>
      </c>
      <c r="F3" s="35" t="s">
        <v>77</v>
      </c>
      <c r="G3" s="36" t="s">
        <v>78</v>
      </c>
      <c r="I3" s="48" t="s">
        <v>52</v>
      </c>
      <c r="J3" s="49"/>
      <c r="K3" s="49"/>
      <c r="L3" s="79" t="s">
        <v>54</v>
      </c>
      <c r="M3" s="35" t="s">
        <v>76</v>
      </c>
      <c r="N3" s="35" t="s">
        <v>77</v>
      </c>
      <c r="O3" s="36" t="s">
        <v>78</v>
      </c>
    </row>
    <row r="4" spans="1:18" ht="30" customHeight="1" x14ac:dyDescent="0.2">
      <c r="A4" s="56" t="s">
        <v>40</v>
      </c>
      <c r="B4" s="19"/>
      <c r="C4" s="19"/>
      <c r="D4" s="20" t="s">
        <v>20</v>
      </c>
      <c r="E4" s="18">
        <f>(E13-E14)/1000</f>
        <v>157.58699999999999</v>
      </c>
      <c r="F4" s="15">
        <f>(F13-F14)/1000</f>
        <v>8559.6569999999992</v>
      </c>
      <c r="G4" s="24">
        <f>(G13-G14)/1000</f>
        <v>14864.57</v>
      </c>
      <c r="I4" s="74" t="s">
        <v>40</v>
      </c>
      <c r="J4" s="19"/>
      <c r="K4" s="19"/>
      <c r="L4" s="20" t="s">
        <v>20</v>
      </c>
      <c r="M4" s="15">
        <f>(M13-M14)/1000</f>
        <v>225.934</v>
      </c>
      <c r="N4" s="15">
        <f>(N13-N14)/1000</f>
        <v>7602.8940000000002</v>
      </c>
      <c r="O4" s="24">
        <f>(O13-O14)/1000</f>
        <v>13854.823</v>
      </c>
    </row>
    <row r="5" spans="1:18" ht="30" customHeight="1" x14ac:dyDescent="0.2">
      <c r="A5" s="57"/>
      <c r="B5" s="53" t="s">
        <v>39</v>
      </c>
      <c r="C5" s="22"/>
      <c r="D5" s="23" t="s">
        <v>21</v>
      </c>
      <c r="E5" s="14">
        <f>(E14-E15-E16)/1000</f>
        <v>21.718</v>
      </c>
      <c r="F5" s="14">
        <f>(F14-F15-F16)/1000</f>
        <v>21.911999999999999</v>
      </c>
      <c r="G5" s="25">
        <f>(G14-G15-G16)/1000</f>
        <v>21.655000000000001</v>
      </c>
      <c r="I5" s="73"/>
      <c r="J5" s="76" t="s">
        <v>39</v>
      </c>
      <c r="K5" s="77"/>
      <c r="L5" s="75" t="s">
        <v>21</v>
      </c>
      <c r="M5" s="14">
        <f>(M14-M15-M16)/1000</f>
        <v>112.444</v>
      </c>
      <c r="N5" s="14">
        <f>(N14-N15-N16)/1000</f>
        <v>104.63800000000001</v>
      </c>
      <c r="O5" s="25">
        <f>(O14-O15-O16)/1000</f>
        <v>107.994</v>
      </c>
    </row>
    <row r="6" spans="1:18" ht="30" customHeight="1" x14ac:dyDescent="0.2">
      <c r="A6" s="57"/>
      <c r="B6" s="54"/>
      <c r="C6" s="50" t="s">
        <v>38</v>
      </c>
      <c r="D6" s="33" t="s">
        <v>22</v>
      </c>
      <c r="E6" s="13">
        <f>E15/1000</f>
        <v>100.741</v>
      </c>
      <c r="F6" s="13">
        <f>F15/1000</f>
        <v>104.209</v>
      </c>
      <c r="G6" s="26">
        <f>G15/1000</f>
        <v>104.349</v>
      </c>
      <c r="I6" s="73"/>
      <c r="J6" s="72"/>
      <c r="K6" s="78" t="s">
        <v>38</v>
      </c>
      <c r="L6" s="33" t="s">
        <v>49</v>
      </c>
      <c r="M6" s="13">
        <f>M15/1000</f>
        <v>5.0000000000000001E-3</v>
      </c>
      <c r="N6" s="13">
        <f>N15/1000</f>
        <v>6.0000000000000001E-3</v>
      </c>
      <c r="O6" s="26">
        <f>O15/1000</f>
        <v>5.0000000000000001E-3</v>
      </c>
    </row>
    <row r="7" spans="1:18" ht="30" customHeight="1" x14ac:dyDescent="0.2">
      <c r="A7" s="57"/>
      <c r="B7" s="54"/>
      <c r="C7" s="51"/>
      <c r="D7" s="32" t="s">
        <v>61</v>
      </c>
      <c r="E7" s="10">
        <f>E16/1000</f>
        <v>234.65700000000001</v>
      </c>
      <c r="F7" s="10">
        <f>F16/1000</f>
        <v>1612.7149999999999</v>
      </c>
      <c r="G7" s="27">
        <f>G16/1000</f>
        <v>2965.462</v>
      </c>
      <c r="I7" s="73"/>
      <c r="J7" s="72"/>
      <c r="K7" s="78"/>
      <c r="L7" s="32" t="s">
        <v>50</v>
      </c>
      <c r="M7" s="10">
        <f>M16/1000</f>
        <v>159.84100000000001</v>
      </c>
      <c r="N7" s="10">
        <f>N16/1000</f>
        <v>828.18700000000001</v>
      </c>
      <c r="O7" s="27">
        <f>O16/1000</f>
        <v>1421.4549999999999</v>
      </c>
    </row>
    <row r="8" spans="1:18" ht="30" customHeight="1" x14ac:dyDescent="0.2">
      <c r="A8" s="66"/>
      <c r="B8" s="62"/>
      <c r="C8" s="63"/>
      <c r="D8" s="64" t="s">
        <v>43</v>
      </c>
      <c r="E8" s="65">
        <f>E7/E20</f>
        <v>2.8627180675857022E-2</v>
      </c>
      <c r="F8" s="65">
        <f t="shared" ref="F8:G8" si="0">F7/F20</f>
        <v>5.9336367516336017E-3</v>
      </c>
      <c r="G8" s="67">
        <f t="shared" si="0"/>
        <v>5.5539548673345356E-3</v>
      </c>
      <c r="I8" s="73"/>
      <c r="J8" s="72"/>
      <c r="K8" s="78"/>
      <c r="L8" s="64" t="s">
        <v>51</v>
      </c>
      <c r="M8" s="65">
        <f>M7/M17</f>
        <v>1.9499939002073932E-2</v>
      </c>
      <c r="N8" s="65">
        <f>N7/N17</f>
        <v>3.0471353093542122E-3</v>
      </c>
      <c r="O8" s="67">
        <f>O7/O17</f>
        <v>2.6622148305886274E-3</v>
      </c>
    </row>
    <row r="9" spans="1:18" ht="30" customHeight="1" thickBot="1" x14ac:dyDescent="0.25">
      <c r="A9" s="86" t="s">
        <v>62</v>
      </c>
      <c r="B9" s="87"/>
      <c r="C9" s="87"/>
      <c r="D9" s="87"/>
      <c r="E9" s="15">
        <f>E13/1000</f>
        <v>514.70299999999997</v>
      </c>
      <c r="F9" s="15">
        <f t="shared" ref="F9:G9" si="1">F13/1000</f>
        <v>10298.493</v>
      </c>
      <c r="G9" s="24">
        <f t="shared" si="1"/>
        <v>17956.036</v>
      </c>
      <c r="I9" s="93" t="s">
        <v>62</v>
      </c>
      <c r="J9" s="94"/>
      <c r="K9" s="94"/>
      <c r="L9" s="94"/>
      <c r="M9" s="70">
        <f>M13/1000</f>
        <v>498.22399999999999</v>
      </c>
      <c r="N9" s="70">
        <f t="shared" ref="N9:O9" si="2">N13/1000</f>
        <v>8535.7250000000004</v>
      </c>
      <c r="O9" s="71">
        <f t="shared" si="2"/>
        <v>15384.277</v>
      </c>
    </row>
    <row r="10" spans="1:18" ht="30" customHeight="1" thickBot="1" x14ac:dyDescent="0.25">
      <c r="A10" s="82" t="s">
        <v>64</v>
      </c>
      <c r="B10" s="90"/>
      <c r="C10" s="90"/>
      <c r="D10" s="90"/>
      <c r="E10" s="88" t="s">
        <v>65</v>
      </c>
      <c r="F10" s="88" t="s">
        <v>70</v>
      </c>
      <c r="G10" s="89" t="s">
        <v>79</v>
      </c>
      <c r="I10" s="91"/>
      <c r="J10" s="91"/>
      <c r="K10" s="91"/>
      <c r="L10" s="91"/>
      <c r="M10" s="92"/>
      <c r="N10" s="92"/>
      <c r="O10" s="92"/>
    </row>
    <row r="11" spans="1:18" ht="30" customHeight="1" x14ac:dyDescent="0.2">
      <c r="A11" s="95"/>
      <c r="B11" s="95"/>
      <c r="C11" s="95"/>
      <c r="D11" s="95"/>
      <c r="E11" s="96"/>
      <c r="F11" s="96"/>
      <c r="G11" s="96"/>
      <c r="H11" s="97"/>
      <c r="I11" s="91"/>
      <c r="J11" s="91"/>
      <c r="K11" s="91"/>
      <c r="L11" s="91"/>
      <c r="M11" s="92"/>
      <c r="N11" s="92"/>
      <c r="O11" s="92"/>
    </row>
    <row r="12" spans="1:18" ht="30" customHeight="1" x14ac:dyDescent="0.2">
      <c r="D12" s="47" t="s">
        <v>26</v>
      </c>
      <c r="E12" s="47"/>
      <c r="F12" s="47"/>
      <c r="G12" s="47"/>
      <c r="L12" s="47" t="s">
        <v>26</v>
      </c>
      <c r="M12" s="47"/>
      <c r="N12" s="47"/>
      <c r="O12" s="47"/>
    </row>
    <row r="13" spans="1:18" ht="30" customHeight="1" x14ac:dyDescent="0.2">
      <c r="D13" s="9" t="s">
        <v>27</v>
      </c>
      <c r="E13" s="42">
        <v>514703</v>
      </c>
      <c r="F13" s="42">
        <v>10298493</v>
      </c>
      <c r="G13" s="42">
        <v>17956036</v>
      </c>
      <c r="L13" s="9" t="s">
        <v>44</v>
      </c>
      <c r="M13" s="42">
        <v>498224</v>
      </c>
      <c r="N13" s="42">
        <v>8535725</v>
      </c>
      <c r="O13" s="42">
        <v>15384277</v>
      </c>
    </row>
    <row r="14" spans="1:18" ht="30" customHeight="1" x14ac:dyDescent="0.2">
      <c r="D14" s="9" t="s">
        <v>28</v>
      </c>
      <c r="E14" s="42">
        <v>357116</v>
      </c>
      <c r="F14" s="42">
        <v>1738836</v>
      </c>
      <c r="G14" s="42">
        <v>3091466</v>
      </c>
      <c r="L14" s="9" t="s">
        <v>45</v>
      </c>
      <c r="M14" s="42">
        <v>272290</v>
      </c>
      <c r="N14" s="42">
        <v>932831</v>
      </c>
      <c r="O14" s="42">
        <v>1529454</v>
      </c>
    </row>
    <row r="15" spans="1:18" ht="30" customHeight="1" x14ac:dyDescent="0.2">
      <c r="D15" s="9" t="s">
        <v>29</v>
      </c>
      <c r="E15" s="42">
        <v>100741</v>
      </c>
      <c r="F15" s="42">
        <v>104209</v>
      </c>
      <c r="G15" s="42">
        <v>104349</v>
      </c>
      <c r="L15" s="9" t="s">
        <v>46</v>
      </c>
      <c r="M15" s="42">
        <v>5</v>
      </c>
      <c r="N15" s="42">
        <v>6</v>
      </c>
      <c r="O15" s="42">
        <v>5</v>
      </c>
    </row>
    <row r="16" spans="1:18" ht="30" customHeight="1" x14ac:dyDescent="0.2">
      <c r="D16" s="9" t="s">
        <v>30</v>
      </c>
      <c r="E16" s="42">
        <v>234657</v>
      </c>
      <c r="F16" s="42">
        <v>1612715</v>
      </c>
      <c r="G16" s="42">
        <v>2965462</v>
      </c>
      <c r="L16" s="9" t="s">
        <v>47</v>
      </c>
      <c r="M16" s="42">
        <v>159841</v>
      </c>
      <c r="N16" s="42">
        <v>828187</v>
      </c>
      <c r="O16" s="42">
        <v>1421455</v>
      </c>
    </row>
    <row r="17" spans="4:15" ht="30" customHeight="1" x14ac:dyDescent="0.2">
      <c r="D17" s="9" t="s">
        <v>31</v>
      </c>
      <c r="E17" s="42">
        <v>54299</v>
      </c>
      <c r="F17" s="42">
        <v>1361462</v>
      </c>
      <c r="G17" s="42">
        <v>2703202</v>
      </c>
      <c r="L17" s="9" t="s">
        <v>48</v>
      </c>
      <c r="M17" s="42">
        <v>8197</v>
      </c>
      <c r="N17" s="42">
        <v>271792</v>
      </c>
      <c r="O17" s="42">
        <v>533937</v>
      </c>
    </row>
    <row r="18" spans="4:15" ht="30" customHeight="1" x14ac:dyDescent="0.2">
      <c r="D18" s="9" t="s">
        <v>32</v>
      </c>
      <c r="E18" s="42">
        <v>40982</v>
      </c>
      <c r="F18" s="42">
        <v>1311794</v>
      </c>
      <c r="G18" s="42">
        <v>2611762</v>
      </c>
    </row>
    <row r="19" spans="4:15" ht="30" customHeight="1" x14ac:dyDescent="0.2">
      <c r="D19" s="9" t="s">
        <v>36</v>
      </c>
      <c r="E19" s="42">
        <v>8366</v>
      </c>
      <c r="F19" s="42">
        <v>272147</v>
      </c>
      <c r="G19" s="42">
        <v>534290</v>
      </c>
    </row>
    <row r="20" spans="4:15" ht="30" customHeight="1" x14ac:dyDescent="0.2">
      <c r="D20" s="9" t="s">
        <v>37</v>
      </c>
      <c r="E20" s="42">
        <v>8197</v>
      </c>
      <c r="F20" s="42">
        <v>271792</v>
      </c>
      <c r="G20" s="42">
        <v>533937</v>
      </c>
    </row>
    <row r="21" spans="4:15" ht="30" customHeight="1" x14ac:dyDescent="0.2"/>
    <row r="22" spans="4:15" ht="30" customHeight="1" x14ac:dyDescent="0.2"/>
    <row r="23" spans="4:15" ht="30" customHeight="1" x14ac:dyDescent="0.2"/>
    <row r="24" spans="4:15" ht="30" customHeight="1" x14ac:dyDescent="0.2"/>
    <row r="25" spans="4:15" ht="30" customHeight="1" x14ac:dyDescent="0.2"/>
    <row r="26" spans="4:15" ht="30" customHeight="1" x14ac:dyDescent="0.2"/>
  </sheetData>
  <mergeCells count="14">
    <mergeCell ref="A9:D9"/>
    <mergeCell ref="I9:L9"/>
    <mergeCell ref="A10:D10"/>
    <mergeCell ref="D12:G12"/>
    <mergeCell ref="L12:O12"/>
    <mergeCell ref="A1:O1"/>
    <mergeCell ref="A3:C3"/>
    <mergeCell ref="I3:K3"/>
    <mergeCell ref="A4:A8"/>
    <mergeCell ref="I4:I8"/>
    <mergeCell ref="B5:B8"/>
    <mergeCell ref="J5:J8"/>
    <mergeCell ref="C6:C8"/>
    <mergeCell ref="K6:K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27D7-C609-A24C-9ECC-6CC4EA0FA956}">
  <dimension ref="A1:R26"/>
  <sheetViews>
    <sheetView workbookViewId="0">
      <selection activeCell="Q25" sqref="Q25"/>
    </sheetView>
  </sheetViews>
  <sheetFormatPr baseColWidth="10" defaultRowHeight="19" x14ac:dyDescent="0.2"/>
  <cols>
    <col min="1" max="3" width="3.83203125" style="9" customWidth="1"/>
    <col min="4" max="8" width="20.83203125" style="9" customWidth="1"/>
    <col min="9" max="11" width="3.83203125" style="9" customWidth="1"/>
    <col min="12" max="16" width="20.83203125" style="9" customWidth="1"/>
    <col min="17" max="16384" width="10.83203125" style="9"/>
  </cols>
  <sheetData>
    <row r="1" spans="1:18" ht="30" customHeight="1" x14ac:dyDescent="0.2">
      <c r="A1" s="81" t="s">
        <v>71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0"/>
      <c r="Q1" s="80"/>
      <c r="R1" s="80"/>
    </row>
    <row r="2" spans="1:18" ht="20" thickBot="1" x14ac:dyDescent="0.25"/>
    <row r="3" spans="1:18" ht="30" customHeight="1" x14ac:dyDescent="0.2">
      <c r="A3" s="48" t="s">
        <v>42</v>
      </c>
      <c r="B3" s="49"/>
      <c r="C3" s="49"/>
      <c r="D3" s="79" t="s">
        <v>54</v>
      </c>
      <c r="E3" s="35" t="s">
        <v>72</v>
      </c>
      <c r="F3" s="35" t="s">
        <v>73</v>
      </c>
      <c r="G3" s="36" t="s">
        <v>74</v>
      </c>
      <c r="I3" s="48" t="s">
        <v>52</v>
      </c>
      <c r="J3" s="49"/>
      <c r="K3" s="49"/>
      <c r="L3" s="79" t="s">
        <v>54</v>
      </c>
      <c r="M3" s="35" t="s">
        <v>72</v>
      </c>
      <c r="N3" s="35" t="s">
        <v>73</v>
      </c>
      <c r="O3" s="36" t="s">
        <v>74</v>
      </c>
    </row>
    <row r="4" spans="1:18" ht="30" customHeight="1" x14ac:dyDescent="0.2">
      <c r="A4" s="56" t="s">
        <v>40</v>
      </c>
      <c r="B4" s="19"/>
      <c r="C4" s="19"/>
      <c r="D4" s="20" t="s">
        <v>20</v>
      </c>
      <c r="E4" s="18">
        <f>(E13-E14)/1000</f>
        <v>157.58699999999999</v>
      </c>
      <c r="F4" s="15">
        <f>(F13-F14)/1000</f>
        <v>5537.4849999999997</v>
      </c>
      <c r="G4" s="24">
        <f>(G13-G14)/1000</f>
        <v>11132.040999999999</v>
      </c>
      <c r="I4" s="74" t="s">
        <v>40</v>
      </c>
      <c r="J4" s="19"/>
      <c r="K4" s="19"/>
      <c r="L4" s="20" t="s">
        <v>20</v>
      </c>
      <c r="M4" s="15">
        <f>(M13-M14)/1000</f>
        <v>225.934</v>
      </c>
      <c r="N4" s="15">
        <f>(N13-N14)/1000</f>
        <v>5005.6540000000005</v>
      </c>
      <c r="O4" s="24">
        <f>(O13-O14)/1000</f>
        <v>9892.0969999999998</v>
      </c>
    </row>
    <row r="5" spans="1:18" ht="30" customHeight="1" x14ac:dyDescent="0.2">
      <c r="A5" s="57"/>
      <c r="B5" s="53" t="s">
        <v>39</v>
      </c>
      <c r="C5" s="22"/>
      <c r="D5" s="23" t="s">
        <v>21</v>
      </c>
      <c r="E5" s="14">
        <f>(E14-E15-E16)/1000</f>
        <v>21.718</v>
      </c>
      <c r="F5" s="14">
        <f>(F14-F15-F16)/1000</f>
        <v>21.344000000000001</v>
      </c>
      <c r="G5" s="25">
        <f>(G14-G15-G16)/1000</f>
        <v>21.765000000000001</v>
      </c>
      <c r="I5" s="73"/>
      <c r="J5" s="76" t="s">
        <v>39</v>
      </c>
      <c r="K5" s="77"/>
      <c r="L5" s="75" t="s">
        <v>21</v>
      </c>
      <c r="M5" s="14">
        <f>(M14-M15-M16)/1000</f>
        <v>112.444</v>
      </c>
      <c r="N5" s="14">
        <f>(N14-N15-N16)/1000</f>
        <v>100.85899999999999</v>
      </c>
      <c r="O5" s="25">
        <f>(O14-O15-O16)/1000</f>
        <v>109.545</v>
      </c>
    </row>
    <row r="6" spans="1:18" ht="30" customHeight="1" x14ac:dyDescent="0.2">
      <c r="A6" s="57"/>
      <c r="B6" s="54"/>
      <c r="C6" s="50" t="s">
        <v>38</v>
      </c>
      <c r="D6" s="33" t="s">
        <v>22</v>
      </c>
      <c r="E6" s="13">
        <f>E15/1000</f>
        <v>100.741</v>
      </c>
      <c r="F6" s="13">
        <f>F15/1000</f>
        <v>100.617</v>
      </c>
      <c r="G6" s="26">
        <f>G15/1000</f>
        <v>100.834</v>
      </c>
      <c r="I6" s="73"/>
      <c r="J6" s="72"/>
      <c r="K6" s="78" t="s">
        <v>38</v>
      </c>
      <c r="L6" s="33" t="s">
        <v>49</v>
      </c>
      <c r="M6" s="13">
        <f>M15/1000</f>
        <v>5.0000000000000001E-3</v>
      </c>
      <c r="N6" s="13">
        <f>N15/1000</f>
        <v>4.0000000000000001E-3</v>
      </c>
      <c r="O6" s="26">
        <f>O15/1000</f>
        <v>4.0000000000000001E-3</v>
      </c>
    </row>
    <row r="7" spans="1:18" ht="30" customHeight="1" x14ac:dyDescent="0.2">
      <c r="A7" s="57"/>
      <c r="B7" s="54"/>
      <c r="C7" s="51"/>
      <c r="D7" s="32" t="s">
        <v>61</v>
      </c>
      <c r="E7" s="10">
        <f>E16/1000</f>
        <v>234.65700000000001</v>
      </c>
      <c r="F7" s="10">
        <f>F16/1000</f>
        <v>258.09899999999999</v>
      </c>
      <c r="G7" s="27">
        <f>G16/1000</f>
        <v>250.589</v>
      </c>
      <c r="I7" s="73"/>
      <c r="J7" s="72"/>
      <c r="K7" s="78"/>
      <c r="L7" s="32" t="s">
        <v>50</v>
      </c>
      <c r="M7" s="10">
        <f>M16/1000</f>
        <v>159.84100000000001</v>
      </c>
      <c r="N7" s="10">
        <f>N16/1000</f>
        <v>183.08199999999999</v>
      </c>
      <c r="O7" s="27">
        <f>O16/1000</f>
        <v>180.863</v>
      </c>
    </row>
    <row r="8" spans="1:18" ht="30" customHeight="1" x14ac:dyDescent="0.2">
      <c r="A8" s="66"/>
      <c r="B8" s="62"/>
      <c r="C8" s="63"/>
      <c r="D8" s="64" t="s">
        <v>43</v>
      </c>
      <c r="E8" s="65">
        <f>E7/E20</f>
        <v>2.8627180675857022E-2</v>
      </c>
      <c r="F8" s="65">
        <f t="shared" ref="F8:G8" si="0">F7/F20</f>
        <v>3.0500945402978017E-2</v>
      </c>
      <c r="G8" s="67">
        <f t="shared" si="0"/>
        <v>2.9711761916054066E-2</v>
      </c>
      <c r="I8" s="73"/>
      <c r="J8" s="72"/>
      <c r="K8" s="78"/>
      <c r="L8" s="64" t="s">
        <v>51</v>
      </c>
      <c r="M8" s="65">
        <f>M7/M17</f>
        <v>1.9499939002073932E-2</v>
      </c>
      <c r="N8" s="65">
        <f>N7/N17</f>
        <v>2.1635783502718033E-2</v>
      </c>
      <c r="O8" s="67">
        <f>O7/O17</f>
        <v>2.1444510315390089E-2</v>
      </c>
    </row>
    <row r="9" spans="1:18" ht="30" customHeight="1" thickBot="1" x14ac:dyDescent="0.25">
      <c r="A9" s="86" t="s">
        <v>62</v>
      </c>
      <c r="B9" s="87"/>
      <c r="C9" s="87"/>
      <c r="D9" s="87"/>
      <c r="E9" s="15">
        <f>E13/1000</f>
        <v>514.70299999999997</v>
      </c>
      <c r="F9" s="15">
        <f t="shared" ref="F9:G9" si="1">F13/1000</f>
        <v>5917.5450000000001</v>
      </c>
      <c r="G9" s="24">
        <f t="shared" si="1"/>
        <v>11505.228999999999</v>
      </c>
      <c r="I9" s="93" t="s">
        <v>62</v>
      </c>
      <c r="J9" s="94"/>
      <c r="K9" s="94"/>
      <c r="L9" s="94"/>
      <c r="M9" s="70">
        <f>M13/1000</f>
        <v>498.22399999999999</v>
      </c>
      <c r="N9" s="70">
        <f t="shared" ref="N9:O9" si="2">N13/1000</f>
        <v>5289.5990000000002</v>
      </c>
      <c r="O9" s="71">
        <f t="shared" si="2"/>
        <v>10182.509</v>
      </c>
    </row>
    <row r="10" spans="1:18" ht="30" customHeight="1" thickBot="1" x14ac:dyDescent="0.25">
      <c r="A10" s="82" t="s">
        <v>64</v>
      </c>
      <c r="B10" s="90"/>
      <c r="C10" s="90"/>
      <c r="D10" s="90"/>
      <c r="E10" s="88" t="s">
        <v>65</v>
      </c>
      <c r="F10" s="88" t="s">
        <v>68</v>
      </c>
      <c r="G10" s="89" t="s">
        <v>70</v>
      </c>
      <c r="I10" s="91"/>
      <c r="J10" s="91"/>
      <c r="K10" s="91"/>
      <c r="L10" s="91"/>
      <c r="M10" s="92"/>
      <c r="N10" s="92"/>
      <c r="O10" s="92"/>
    </row>
    <row r="11" spans="1:18" ht="30" customHeight="1" x14ac:dyDescent="0.2">
      <c r="A11" s="95"/>
      <c r="B11" s="95"/>
      <c r="C11" s="95"/>
      <c r="D11" s="95"/>
      <c r="E11" s="96"/>
      <c r="F11" s="96"/>
      <c r="G11" s="96"/>
      <c r="H11" s="97"/>
      <c r="I11" s="91"/>
      <c r="J11" s="91"/>
      <c r="K11" s="91"/>
      <c r="L11" s="91"/>
      <c r="M11" s="92"/>
      <c r="N11" s="92"/>
      <c r="O11" s="92"/>
    </row>
    <row r="12" spans="1:18" ht="30" customHeight="1" x14ac:dyDescent="0.2">
      <c r="D12" s="47" t="s">
        <v>26</v>
      </c>
      <c r="E12" s="47"/>
      <c r="F12" s="47"/>
      <c r="G12" s="47"/>
      <c r="L12" s="47" t="s">
        <v>26</v>
      </c>
      <c r="M12" s="47"/>
      <c r="N12" s="47"/>
      <c r="O12" s="47"/>
    </row>
    <row r="13" spans="1:18" ht="30" customHeight="1" x14ac:dyDescent="0.2">
      <c r="D13" s="9" t="s">
        <v>27</v>
      </c>
      <c r="E13" s="42">
        <v>514703</v>
      </c>
      <c r="F13" s="42">
        <v>5917545</v>
      </c>
      <c r="G13" s="42">
        <v>11505229</v>
      </c>
      <c r="L13" s="9" t="s">
        <v>44</v>
      </c>
      <c r="M13" s="42">
        <v>498224</v>
      </c>
      <c r="N13" s="42">
        <v>5289599</v>
      </c>
      <c r="O13" s="42">
        <v>10182509</v>
      </c>
    </row>
    <row r="14" spans="1:18" ht="30" customHeight="1" x14ac:dyDescent="0.2">
      <c r="D14" s="9" t="s">
        <v>28</v>
      </c>
      <c r="E14" s="42">
        <v>357116</v>
      </c>
      <c r="F14" s="42">
        <v>380060</v>
      </c>
      <c r="G14" s="42">
        <v>373188</v>
      </c>
      <c r="L14" s="9" t="s">
        <v>45</v>
      </c>
      <c r="M14" s="42">
        <v>272290</v>
      </c>
      <c r="N14" s="42">
        <v>283945</v>
      </c>
      <c r="O14" s="42">
        <v>290412</v>
      </c>
    </row>
    <row r="15" spans="1:18" ht="30" customHeight="1" x14ac:dyDescent="0.2">
      <c r="D15" s="9" t="s">
        <v>29</v>
      </c>
      <c r="E15" s="42">
        <v>100741</v>
      </c>
      <c r="F15" s="42">
        <v>100617</v>
      </c>
      <c r="G15" s="42">
        <v>100834</v>
      </c>
      <c r="L15" s="9" t="s">
        <v>46</v>
      </c>
      <c r="M15" s="42">
        <v>5</v>
      </c>
      <c r="N15" s="42">
        <v>4</v>
      </c>
      <c r="O15" s="42">
        <v>4</v>
      </c>
    </row>
    <row r="16" spans="1:18" ht="30" customHeight="1" x14ac:dyDescent="0.2">
      <c r="D16" s="9" t="s">
        <v>30</v>
      </c>
      <c r="E16" s="42">
        <v>234657</v>
      </c>
      <c r="F16" s="42">
        <v>258099</v>
      </c>
      <c r="G16" s="42">
        <v>250589</v>
      </c>
      <c r="L16" s="9" t="s">
        <v>47</v>
      </c>
      <c r="M16" s="42">
        <v>159841</v>
      </c>
      <c r="N16" s="42">
        <v>183082</v>
      </c>
      <c r="O16" s="42">
        <v>180863</v>
      </c>
    </row>
    <row r="17" spans="4:15" ht="30" customHeight="1" x14ac:dyDescent="0.2">
      <c r="D17" s="9" t="s">
        <v>31</v>
      </c>
      <c r="E17" s="42">
        <v>54299</v>
      </c>
      <c r="F17" s="42">
        <v>54954</v>
      </c>
      <c r="G17" s="42">
        <v>54960</v>
      </c>
      <c r="L17" s="9" t="s">
        <v>48</v>
      </c>
      <c r="M17" s="42">
        <v>8197</v>
      </c>
      <c r="N17" s="42">
        <v>8462</v>
      </c>
      <c r="O17" s="42">
        <v>8434</v>
      </c>
    </row>
    <row r="18" spans="4:15" ht="30" customHeight="1" x14ac:dyDescent="0.2">
      <c r="D18" s="9" t="s">
        <v>32</v>
      </c>
      <c r="E18" s="42">
        <v>40982</v>
      </c>
      <c r="F18" s="42">
        <v>41709</v>
      </c>
      <c r="G18" s="42">
        <v>41753</v>
      </c>
    </row>
    <row r="19" spans="4:15" ht="30" customHeight="1" x14ac:dyDescent="0.2">
      <c r="D19" s="9" t="s">
        <v>36</v>
      </c>
      <c r="E19" s="42">
        <v>8366</v>
      </c>
      <c r="F19" s="42">
        <v>8645</v>
      </c>
      <c r="G19" s="42">
        <v>8613</v>
      </c>
    </row>
    <row r="20" spans="4:15" ht="30" customHeight="1" x14ac:dyDescent="0.2">
      <c r="D20" s="9" t="s">
        <v>37</v>
      </c>
      <c r="E20" s="42">
        <v>8197</v>
      </c>
      <c r="F20" s="42">
        <v>8462</v>
      </c>
      <c r="G20" s="42">
        <v>8434</v>
      </c>
    </row>
    <row r="21" spans="4:15" ht="30" customHeight="1" x14ac:dyDescent="0.2"/>
    <row r="22" spans="4:15" ht="30" customHeight="1" x14ac:dyDescent="0.2"/>
    <row r="23" spans="4:15" ht="30" customHeight="1" x14ac:dyDescent="0.2"/>
    <row r="24" spans="4:15" ht="30" customHeight="1" x14ac:dyDescent="0.2"/>
    <row r="25" spans="4:15" ht="30" customHeight="1" x14ac:dyDescent="0.2"/>
    <row r="26" spans="4:15" ht="30" customHeight="1" x14ac:dyDescent="0.2"/>
  </sheetData>
  <mergeCells count="14">
    <mergeCell ref="A9:D9"/>
    <mergeCell ref="I9:L9"/>
    <mergeCell ref="A10:D10"/>
    <mergeCell ref="D12:G12"/>
    <mergeCell ref="L12:O12"/>
    <mergeCell ref="A1:O1"/>
    <mergeCell ref="A3:C3"/>
    <mergeCell ref="I3:K3"/>
    <mergeCell ref="A4:A8"/>
    <mergeCell ref="I4:I8"/>
    <mergeCell ref="B5:B8"/>
    <mergeCell ref="J5:J8"/>
    <mergeCell ref="C6:C8"/>
    <mergeCell ref="K6:K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846F9-2467-434C-A659-1CC1DEE101CF}">
  <dimension ref="A1:R26"/>
  <sheetViews>
    <sheetView workbookViewId="0">
      <selection activeCell="Q23" sqref="Q23"/>
    </sheetView>
  </sheetViews>
  <sheetFormatPr baseColWidth="10" defaultRowHeight="19" x14ac:dyDescent="0.2"/>
  <cols>
    <col min="1" max="3" width="3.83203125" style="9" customWidth="1"/>
    <col min="4" max="8" width="20.83203125" style="9" customWidth="1"/>
    <col min="9" max="11" width="3.83203125" style="9" customWidth="1"/>
    <col min="12" max="16" width="20.83203125" style="9" customWidth="1"/>
    <col min="17" max="16384" width="10.83203125" style="9"/>
  </cols>
  <sheetData>
    <row r="1" spans="1:18" ht="30" customHeight="1" x14ac:dyDescent="0.2">
      <c r="A1" s="81" t="s">
        <v>69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0"/>
      <c r="Q1" s="80"/>
      <c r="R1" s="80"/>
    </row>
    <row r="2" spans="1:18" ht="20" thickBot="1" x14ac:dyDescent="0.25"/>
    <row r="3" spans="1:18" ht="30" customHeight="1" x14ac:dyDescent="0.2">
      <c r="A3" s="48" t="s">
        <v>42</v>
      </c>
      <c r="B3" s="49"/>
      <c r="C3" s="49"/>
      <c r="D3" s="79" t="s">
        <v>54</v>
      </c>
      <c r="E3" s="35" t="s">
        <v>58</v>
      </c>
      <c r="F3" s="35" t="s">
        <v>60</v>
      </c>
      <c r="G3" s="36" t="s">
        <v>59</v>
      </c>
      <c r="I3" s="48" t="s">
        <v>52</v>
      </c>
      <c r="J3" s="49"/>
      <c r="K3" s="49"/>
      <c r="L3" s="79" t="s">
        <v>54</v>
      </c>
      <c r="M3" s="35" t="s">
        <v>58</v>
      </c>
      <c r="N3" s="35" t="s">
        <v>60</v>
      </c>
      <c r="O3" s="36" t="s">
        <v>59</v>
      </c>
    </row>
    <row r="4" spans="1:18" ht="30" customHeight="1" x14ac:dyDescent="0.2">
      <c r="A4" s="56" t="s">
        <v>40</v>
      </c>
      <c r="B4" s="19"/>
      <c r="C4" s="19"/>
      <c r="D4" s="20" t="s">
        <v>20</v>
      </c>
      <c r="E4" s="18">
        <f>(E13-E14)/1000</f>
        <v>157.58699999999999</v>
      </c>
      <c r="F4" s="15">
        <f>(F13-F14)/1000</f>
        <v>3243.4209999999998</v>
      </c>
      <c r="G4" s="24">
        <f>(G13-G14)/1000</f>
        <v>6144.62</v>
      </c>
      <c r="I4" s="74" t="s">
        <v>40</v>
      </c>
      <c r="J4" s="19"/>
      <c r="K4" s="19"/>
      <c r="L4" s="20" t="s">
        <v>20</v>
      </c>
      <c r="M4" s="15">
        <f>(M13-M14)/1000</f>
        <v>225.934</v>
      </c>
      <c r="N4" s="15">
        <f>(N13-N14)/1000</f>
        <v>2818.37</v>
      </c>
      <c r="O4" s="24">
        <f>(O13-O14)/1000</f>
        <v>4628.0370000000003</v>
      </c>
    </row>
    <row r="5" spans="1:18" ht="30" customHeight="1" x14ac:dyDescent="0.2">
      <c r="A5" s="57"/>
      <c r="B5" s="53" t="s">
        <v>39</v>
      </c>
      <c r="C5" s="22"/>
      <c r="D5" s="23" t="s">
        <v>21</v>
      </c>
      <c r="E5" s="14">
        <f>(E14-E15-E16)/1000</f>
        <v>21.718</v>
      </c>
      <c r="F5" s="14">
        <f>(F14-F15-F16)/1000</f>
        <v>22.152000000000001</v>
      </c>
      <c r="G5" s="25">
        <f>(G14-G15-G16)/1000</f>
        <v>20.756</v>
      </c>
      <c r="I5" s="73"/>
      <c r="J5" s="76" t="s">
        <v>39</v>
      </c>
      <c r="K5" s="77"/>
      <c r="L5" s="75" t="s">
        <v>21</v>
      </c>
      <c r="M5" s="14">
        <f>(M14-M15-M16)/1000</f>
        <v>112.444</v>
      </c>
      <c r="N5" s="14">
        <f>(N14-N15-N16)/1000</f>
        <v>129.994</v>
      </c>
      <c r="O5" s="25">
        <f>(O14-O15-O16)/1000</f>
        <v>135.43100000000001</v>
      </c>
    </row>
    <row r="6" spans="1:18" ht="30" customHeight="1" x14ac:dyDescent="0.2">
      <c r="A6" s="57"/>
      <c r="B6" s="54"/>
      <c r="C6" s="50" t="s">
        <v>38</v>
      </c>
      <c r="D6" s="33" t="s">
        <v>22</v>
      </c>
      <c r="E6" s="13">
        <f>E15/1000</f>
        <v>100.741</v>
      </c>
      <c r="F6" s="13">
        <f>F15/1000</f>
        <v>104.221</v>
      </c>
      <c r="G6" s="26">
        <f>G15/1000</f>
        <v>104.312</v>
      </c>
      <c r="I6" s="73"/>
      <c r="J6" s="72"/>
      <c r="K6" s="78" t="s">
        <v>38</v>
      </c>
      <c r="L6" s="33" t="s">
        <v>49</v>
      </c>
      <c r="M6" s="13">
        <f>M15/1000</f>
        <v>5.0000000000000001E-3</v>
      </c>
      <c r="N6" s="13">
        <f>N15/1000</f>
        <v>4.0000000000000001E-3</v>
      </c>
      <c r="O6" s="26">
        <f>O15/1000</f>
        <v>4.0000000000000001E-3</v>
      </c>
    </row>
    <row r="7" spans="1:18" ht="30" customHeight="1" x14ac:dyDescent="0.2">
      <c r="A7" s="57"/>
      <c r="B7" s="54"/>
      <c r="C7" s="51"/>
      <c r="D7" s="32" t="s">
        <v>61</v>
      </c>
      <c r="E7" s="10">
        <f>E16/1000</f>
        <v>234.65700000000001</v>
      </c>
      <c r="F7" s="10">
        <f>F16/1000</f>
        <v>1621.3979999999999</v>
      </c>
      <c r="G7" s="27">
        <f>G16/1000</f>
        <v>2966.873</v>
      </c>
      <c r="I7" s="73"/>
      <c r="J7" s="72"/>
      <c r="K7" s="78"/>
      <c r="L7" s="32" t="s">
        <v>50</v>
      </c>
      <c r="M7" s="10">
        <f>M16/1000</f>
        <v>159.84100000000001</v>
      </c>
      <c r="N7" s="10">
        <f>N16/1000</f>
        <v>837.08299999999997</v>
      </c>
      <c r="O7" s="27">
        <f>O16/1000</f>
        <v>1402.38</v>
      </c>
    </row>
    <row r="8" spans="1:18" ht="30" customHeight="1" x14ac:dyDescent="0.2">
      <c r="A8" s="66"/>
      <c r="B8" s="62"/>
      <c r="C8" s="63"/>
      <c r="D8" s="64" t="s">
        <v>43</v>
      </c>
      <c r="E8" s="65">
        <f>E7/E20</f>
        <v>2.8627180675857022E-2</v>
      </c>
      <c r="F8" s="65">
        <f t="shared" ref="F8:G8" si="0">F7/F20</f>
        <v>5.9729239882412742E-3</v>
      </c>
      <c r="G8" s="67">
        <f t="shared" si="0"/>
        <v>5.5600651419404649E-3</v>
      </c>
      <c r="I8" s="73"/>
      <c r="J8" s="72"/>
      <c r="K8" s="78"/>
      <c r="L8" s="64" t="s">
        <v>51</v>
      </c>
      <c r="M8" s="65">
        <f>M7/M17</f>
        <v>1.9499939002073932E-2</v>
      </c>
      <c r="N8" s="65">
        <f>N7/N17</f>
        <v>3.0836556668066514E-3</v>
      </c>
      <c r="O8" s="67">
        <f>O7/O17</f>
        <v>2.6281287246722289E-3</v>
      </c>
    </row>
    <row r="9" spans="1:18" ht="30" customHeight="1" thickBot="1" x14ac:dyDescent="0.25">
      <c r="A9" s="86" t="s">
        <v>62</v>
      </c>
      <c r="B9" s="87"/>
      <c r="C9" s="87"/>
      <c r="D9" s="87"/>
      <c r="E9" s="15">
        <f>E13/1000</f>
        <v>514.70299999999997</v>
      </c>
      <c r="F9" s="15">
        <f t="shared" ref="F9:G9" si="1">F13/1000</f>
        <v>4991.192</v>
      </c>
      <c r="G9" s="24">
        <f t="shared" si="1"/>
        <v>9236.5609999999997</v>
      </c>
      <c r="I9" s="93" t="s">
        <v>62</v>
      </c>
      <c r="J9" s="94"/>
      <c r="K9" s="94"/>
      <c r="L9" s="94"/>
      <c r="M9" s="70">
        <f>M13/1000</f>
        <v>498.22399999999999</v>
      </c>
      <c r="N9" s="70">
        <f t="shared" ref="N9:O9" si="2">N13/1000</f>
        <v>3785.451</v>
      </c>
      <c r="O9" s="71">
        <f t="shared" si="2"/>
        <v>6165.8519999999999</v>
      </c>
    </row>
    <row r="10" spans="1:18" ht="30" customHeight="1" thickBot="1" x14ac:dyDescent="0.25">
      <c r="A10" s="82" t="s">
        <v>64</v>
      </c>
      <c r="B10" s="90"/>
      <c r="C10" s="90"/>
      <c r="D10" s="90"/>
      <c r="E10" s="88" t="s">
        <v>65</v>
      </c>
      <c r="F10" s="88" t="s">
        <v>68</v>
      </c>
      <c r="G10" s="89" t="s">
        <v>70</v>
      </c>
      <c r="I10" s="91"/>
      <c r="J10" s="91"/>
      <c r="K10" s="91"/>
      <c r="L10" s="91"/>
      <c r="M10" s="92"/>
      <c r="N10" s="92"/>
      <c r="O10" s="92"/>
    </row>
    <row r="11" spans="1:18" ht="30" customHeight="1" x14ac:dyDescent="0.2">
      <c r="A11" s="95"/>
      <c r="B11" s="95"/>
      <c r="C11" s="95"/>
      <c r="D11" s="95"/>
      <c r="E11" s="96"/>
      <c r="F11" s="96"/>
      <c r="G11" s="96"/>
      <c r="H11" s="97"/>
      <c r="I11" s="91"/>
      <c r="J11" s="91"/>
      <c r="K11" s="91"/>
      <c r="L11" s="91"/>
      <c r="M11" s="92"/>
      <c r="N11" s="92"/>
      <c r="O11" s="92"/>
    </row>
    <row r="12" spans="1:18" ht="30" customHeight="1" x14ac:dyDescent="0.2">
      <c r="D12" s="47" t="s">
        <v>26</v>
      </c>
      <c r="E12" s="47"/>
      <c r="F12" s="47"/>
      <c r="G12" s="47"/>
      <c r="L12" s="47" t="s">
        <v>26</v>
      </c>
      <c r="M12" s="47"/>
      <c r="N12" s="47"/>
      <c r="O12" s="47"/>
    </row>
    <row r="13" spans="1:18" ht="30" customHeight="1" x14ac:dyDescent="0.2">
      <c r="D13" s="9" t="s">
        <v>27</v>
      </c>
      <c r="E13" s="42">
        <v>514703</v>
      </c>
      <c r="F13" s="42">
        <v>4991192</v>
      </c>
      <c r="G13" s="42">
        <v>9236561</v>
      </c>
      <c r="L13" s="9" t="s">
        <v>44</v>
      </c>
      <c r="M13" s="42">
        <v>498224</v>
      </c>
      <c r="N13" s="42">
        <v>3785451</v>
      </c>
      <c r="O13" s="42">
        <v>6165852</v>
      </c>
    </row>
    <row r="14" spans="1:18" ht="30" customHeight="1" x14ac:dyDescent="0.2">
      <c r="D14" s="9" t="s">
        <v>28</v>
      </c>
      <c r="E14" s="42">
        <v>357116</v>
      </c>
      <c r="F14" s="42">
        <v>1747771</v>
      </c>
      <c r="G14" s="42">
        <v>3091941</v>
      </c>
      <c r="L14" s="9" t="s">
        <v>45</v>
      </c>
      <c r="M14" s="42">
        <v>272290</v>
      </c>
      <c r="N14" s="42">
        <v>967081</v>
      </c>
      <c r="O14" s="42">
        <v>1537815</v>
      </c>
    </row>
    <row r="15" spans="1:18" ht="30" customHeight="1" x14ac:dyDescent="0.2">
      <c r="D15" s="9" t="s">
        <v>29</v>
      </c>
      <c r="E15" s="42">
        <v>100741</v>
      </c>
      <c r="F15" s="42">
        <v>104221</v>
      </c>
      <c r="G15" s="42">
        <v>104312</v>
      </c>
      <c r="L15" s="9" t="s">
        <v>46</v>
      </c>
      <c r="M15" s="42">
        <v>5</v>
      </c>
      <c r="N15" s="42">
        <v>4</v>
      </c>
      <c r="O15" s="42">
        <v>4</v>
      </c>
    </row>
    <row r="16" spans="1:18" ht="30" customHeight="1" x14ac:dyDescent="0.2">
      <c r="D16" s="9" t="s">
        <v>30</v>
      </c>
      <c r="E16" s="42">
        <v>234657</v>
      </c>
      <c r="F16" s="42">
        <v>1621398</v>
      </c>
      <c r="G16" s="42">
        <v>2966873</v>
      </c>
      <c r="L16" s="9" t="s">
        <v>47</v>
      </c>
      <c r="M16" s="42">
        <v>159841</v>
      </c>
      <c r="N16" s="42">
        <v>837083</v>
      </c>
      <c r="O16" s="42">
        <v>1402380</v>
      </c>
    </row>
    <row r="17" spans="4:15" ht="30" customHeight="1" x14ac:dyDescent="0.2">
      <c r="D17" s="9" t="s">
        <v>31</v>
      </c>
      <c r="E17" s="42">
        <v>54299</v>
      </c>
      <c r="F17" s="42">
        <v>1373653</v>
      </c>
      <c r="G17" s="42">
        <v>2712983</v>
      </c>
      <c r="L17" s="9" t="s">
        <v>48</v>
      </c>
      <c r="M17" s="42">
        <v>8197</v>
      </c>
      <c r="N17" s="42">
        <v>271458</v>
      </c>
      <c r="O17" s="42">
        <v>533604</v>
      </c>
    </row>
    <row r="18" spans="4:15" ht="30" customHeight="1" x14ac:dyDescent="0.2">
      <c r="D18" s="9" t="s">
        <v>32</v>
      </c>
      <c r="E18" s="42">
        <v>40982</v>
      </c>
      <c r="F18" s="42">
        <v>1324750</v>
      </c>
      <c r="G18" s="42">
        <v>2624377</v>
      </c>
    </row>
    <row r="19" spans="4:15" ht="30" customHeight="1" x14ac:dyDescent="0.2">
      <c r="D19" s="9" t="s">
        <v>36</v>
      </c>
      <c r="E19" s="42">
        <v>8366</v>
      </c>
      <c r="F19" s="42">
        <v>271817</v>
      </c>
      <c r="G19" s="42">
        <v>533950</v>
      </c>
    </row>
    <row r="20" spans="4:15" ht="30" customHeight="1" x14ac:dyDescent="0.2">
      <c r="D20" s="9" t="s">
        <v>37</v>
      </c>
      <c r="E20" s="42">
        <v>8197</v>
      </c>
      <c r="F20" s="42">
        <v>271458</v>
      </c>
      <c r="G20" s="42">
        <v>533604</v>
      </c>
    </row>
    <row r="21" spans="4:15" ht="30" customHeight="1" x14ac:dyDescent="0.2"/>
    <row r="22" spans="4:15" ht="30" customHeight="1" x14ac:dyDescent="0.2"/>
    <row r="23" spans="4:15" ht="30" customHeight="1" x14ac:dyDescent="0.2"/>
    <row r="24" spans="4:15" ht="30" customHeight="1" x14ac:dyDescent="0.2"/>
    <row r="25" spans="4:15" ht="30" customHeight="1" x14ac:dyDescent="0.2"/>
    <row r="26" spans="4:15" ht="30" customHeight="1" x14ac:dyDescent="0.2"/>
  </sheetData>
  <mergeCells count="14">
    <mergeCell ref="A9:D9"/>
    <mergeCell ref="I9:L9"/>
    <mergeCell ref="D12:G12"/>
    <mergeCell ref="L12:O12"/>
    <mergeCell ref="A10:D10"/>
    <mergeCell ref="A1:O1"/>
    <mergeCell ref="A3:C3"/>
    <mergeCell ref="I3:K3"/>
    <mergeCell ref="A4:A8"/>
    <mergeCell ref="I4:I8"/>
    <mergeCell ref="B5:B8"/>
    <mergeCell ref="J5:J8"/>
    <mergeCell ref="C6:C8"/>
    <mergeCell ref="K6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66CD0-3101-CC4F-A29D-F2726A08E908}">
  <dimension ref="A1:R26"/>
  <sheetViews>
    <sheetView workbookViewId="0">
      <selection activeCell="P22" sqref="P22"/>
    </sheetView>
  </sheetViews>
  <sheetFormatPr baseColWidth="10" defaultRowHeight="19" x14ac:dyDescent="0.2"/>
  <cols>
    <col min="1" max="3" width="3.83203125" style="9" customWidth="1"/>
    <col min="4" max="8" width="20.83203125" style="9" customWidth="1"/>
    <col min="9" max="11" width="3.83203125" style="9" customWidth="1"/>
    <col min="12" max="16" width="20.83203125" style="9" customWidth="1"/>
    <col min="17" max="16384" width="10.83203125" style="9"/>
  </cols>
  <sheetData>
    <row r="1" spans="1:18" ht="30" customHeight="1" x14ac:dyDescent="0.2">
      <c r="A1" s="81" t="s">
        <v>63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0"/>
      <c r="Q1" s="80"/>
      <c r="R1" s="80"/>
    </row>
    <row r="2" spans="1:18" ht="20" thickBot="1" x14ac:dyDescent="0.25"/>
    <row r="3" spans="1:18" ht="30" customHeight="1" x14ac:dyDescent="0.2">
      <c r="A3" s="48" t="s">
        <v>42</v>
      </c>
      <c r="B3" s="49"/>
      <c r="C3" s="49"/>
      <c r="D3" s="79" t="s">
        <v>54</v>
      </c>
      <c r="E3" s="35" t="s">
        <v>55</v>
      </c>
      <c r="F3" s="35" t="s">
        <v>56</v>
      </c>
      <c r="G3" s="36" t="s">
        <v>57</v>
      </c>
      <c r="I3" s="48" t="s">
        <v>52</v>
      </c>
      <c r="J3" s="49"/>
      <c r="K3" s="49"/>
      <c r="L3" s="79" t="s">
        <v>54</v>
      </c>
      <c r="M3" s="35" t="s">
        <v>55</v>
      </c>
      <c r="N3" s="35" t="s">
        <v>56</v>
      </c>
      <c r="O3" s="36" t="s">
        <v>57</v>
      </c>
    </row>
    <row r="4" spans="1:18" ht="30" customHeight="1" x14ac:dyDescent="0.2">
      <c r="A4" s="56" t="s">
        <v>40</v>
      </c>
      <c r="B4" s="19"/>
      <c r="C4" s="19"/>
      <c r="D4" s="20" t="s">
        <v>20</v>
      </c>
      <c r="E4" s="18">
        <f>(E13-E14)/1000</f>
        <v>157.58699999999999</v>
      </c>
      <c r="F4" s="15">
        <f>(F13-F14)/1000</f>
        <v>178.739</v>
      </c>
      <c r="G4" s="24">
        <f>(G13-G14)/1000</f>
        <v>501.911</v>
      </c>
      <c r="I4" s="74" t="s">
        <v>40</v>
      </c>
      <c r="J4" s="19"/>
      <c r="K4" s="19"/>
      <c r="L4" s="20" t="s">
        <v>20</v>
      </c>
      <c r="M4" s="15">
        <f>(M13-M14)/1000</f>
        <v>225.934</v>
      </c>
      <c r="N4" s="15">
        <f>(N13-N14)/1000</f>
        <v>617.65899999999999</v>
      </c>
      <c r="O4" s="24">
        <f>(O13-O14)/1000</f>
        <v>437.40699999999998</v>
      </c>
    </row>
    <row r="5" spans="1:18" ht="30" customHeight="1" x14ac:dyDescent="0.2">
      <c r="A5" s="57"/>
      <c r="B5" s="53" t="s">
        <v>39</v>
      </c>
      <c r="C5" s="22"/>
      <c r="D5" s="23" t="s">
        <v>21</v>
      </c>
      <c r="E5" s="14">
        <f>(E14-E15-E16)/1000</f>
        <v>21.718</v>
      </c>
      <c r="F5" s="14">
        <f>(F14-F15-F16)/1000</f>
        <v>21.530999999999999</v>
      </c>
      <c r="G5" s="25">
        <f>(G14-G15-G16)/1000</f>
        <v>21.811</v>
      </c>
      <c r="I5" s="73"/>
      <c r="J5" s="76" t="s">
        <v>39</v>
      </c>
      <c r="K5" s="77"/>
      <c r="L5" s="75" t="s">
        <v>21</v>
      </c>
      <c r="M5" s="14">
        <f>(M14-M15-M16)/1000</f>
        <v>112.444</v>
      </c>
      <c r="N5" s="14">
        <f>(N14-N15-N16)/1000</f>
        <v>92.364000000000004</v>
      </c>
      <c r="O5" s="25">
        <f>(O14-O15-O16)/1000</f>
        <v>96.349000000000004</v>
      </c>
    </row>
    <row r="6" spans="1:18" ht="30" customHeight="1" x14ac:dyDescent="0.2">
      <c r="A6" s="57"/>
      <c r="B6" s="54"/>
      <c r="C6" s="50" t="s">
        <v>38</v>
      </c>
      <c r="D6" s="33" t="s">
        <v>22</v>
      </c>
      <c r="E6" s="13">
        <f>E15/1000</f>
        <v>100.741</v>
      </c>
      <c r="F6" s="13">
        <f>F15/1000</f>
        <v>100.621</v>
      </c>
      <c r="G6" s="26">
        <f>G15/1000</f>
        <v>100.64</v>
      </c>
      <c r="I6" s="73"/>
      <c r="J6" s="72"/>
      <c r="K6" s="78" t="s">
        <v>38</v>
      </c>
      <c r="L6" s="33" t="s">
        <v>49</v>
      </c>
      <c r="M6" s="13">
        <f>M15/1000</f>
        <v>5.0000000000000001E-3</v>
      </c>
      <c r="N6" s="13">
        <f>N15/1000</f>
        <v>5.0000000000000001E-3</v>
      </c>
      <c r="O6" s="26">
        <f>O15/1000</f>
        <v>5.0000000000000001E-3</v>
      </c>
    </row>
    <row r="7" spans="1:18" ht="30" customHeight="1" x14ac:dyDescent="0.2">
      <c r="A7" s="57"/>
      <c r="B7" s="54"/>
      <c r="C7" s="51"/>
      <c r="D7" s="32" t="s">
        <v>61</v>
      </c>
      <c r="E7" s="10">
        <f>E16/1000</f>
        <v>234.65700000000001</v>
      </c>
      <c r="F7" s="10">
        <f>F16/1000</f>
        <v>262.86700000000002</v>
      </c>
      <c r="G7" s="27">
        <f>G16/1000</f>
        <v>266.21800000000002</v>
      </c>
      <c r="I7" s="73"/>
      <c r="J7" s="72"/>
      <c r="K7" s="78"/>
      <c r="L7" s="32" t="s">
        <v>50</v>
      </c>
      <c r="M7" s="10">
        <f>M16/1000</f>
        <v>159.84100000000001</v>
      </c>
      <c r="N7" s="10">
        <f>N16/1000</f>
        <v>180.54400000000001</v>
      </c>
      <c r="O7" s="27">
        <f>O16/1000</f>
        <v>185.422</v>
      </c>
    </row>
    <row r="8" spans="1:18" ht="30" customHeight="1" x14ac:dyDescent="0.2">
      <c r="A8" s="66"/>
      <c r="B8" s="62"/>
      <c r="C8" s="63"/>
      <c r="D8" s="64" t="s">
        <v>43</v>
      </c>
      <c r="E8" s="65">
        <f>E7/E20</f>
        <v>2.8627180675857022E-2</v>
      </c>
      <c r="F8" s="65">
        <f t="shared" ref="F8:G8" si="0">F7/F20</f>
        <v>3.2068683664755397E-2</v>
      </c>
      <c r="G8" s="67">
        <f t="shared" si="0"/>
        <v>3.2477491765279982E-2</v>
      </c>
      <c r="I8" s="73"/>
      <c r="J8" s="72"/>
      <c r="K8" s="78"/>
      <c r="L8" s="64" t="s">
        <v>51</v>
      </c>
      <c r="M8" s="65">
        <f>M7/M17</f>
        <v>1.9499939002073932E-2</v>
      </c>
      <c r="N8" s="65">
        <f>N7/N17</f>
        <v>2.2025619128949618E-2</v>
      </c>
      <c r="O8" s="67">
        <f>O7/O17</f>
        <v>2.2620714895693547E-2</v>
      </c>
    </row>
    <row r="9" spans="1:18" ht="30" customHeight="1" thickBot="1" x14ac:dyDescent="0.25">
      <c r="A9" s="86" t="s">
        <v>62</v>
      </c>
      <c r="B9" s="87"/>
      <c r="C9" s="87"/>
      <c r="D9" s="87"/>
      <c r="E9" s="15">
        <f>E13/1000</f>
        <v>514.70299999999997</v>
      </c>
      <c r="F9" s="15">
        <f t="shared" ref="F9:G9" si="1">F13/1000</f>
        <v>563.75800000000004</v>
      </c>
      <c r="G9" s="24">
        <f t="shared" si="1"/>
        <v>890.58</v>
      </c>
      <c r="I9" s="68" t="s">
        <v>62</v>
      </c>
      <c r="J9" s="69"/>
      <c r="K9" s="69"/>
      <c r="L9" s="69"/>
      <c r="M9" s="70">
        <f>M13/1000</f>
        <v>498.22399999999999</v>
      </c>
      <c r="N9" s="70">
        <f t="shared" ref="N9:O9" si="2">N13/1000</f>
        <v>890.572</v>
      </c>
      <c r="O9" s="71">
        <f t="shared" si="2"/>
        <v>719.18299999999999</v>
      </c>
    </row>
    <row r="10" spans="1:18" ht="30" customHeight="1" thickBot="1" x14ac:dyDescent="0.25">
      <c r="A10" s="83" t="s">
        <v>64</v>
      </c>
      <c r="B10" s="84"/>
      <c r="C10" s="84"/>
      <c r="D10" s="85"/>
      <c r="E10" s="88" t="s">
        <v>65</v>
      </c>
      <c r="F10" s="88" t="s">
        <v>66</v>
      </c>
      <c r="G10" s="89" t="s">
        <v>67</v>
      </c>
      <c r="I10" s="91"/>
      <c r="J10" s="91"/>
      <c r="K10" s="91"/>
      <c r="L10" s="91"/>
      <c r="M10" s="92"/>
      <c r="N10" s="92"/>
      <c r="O10" s="92"/>
    </row>
    <row r="11" spans="1:18" ht="30" customHeight="1" x14ac:dyDescent="0.2"/>
    <row r="12" spans="1:18" ht="30" customHeight="1" x14ac:dyDescent="0.2">
      <c r="D12" s="47" t="s">
        <v>26</v>
      </c>
      <c r="E12" s="47"/>
      <c r="F12" s="47"/>
      <c r="G12" s="47"/>
      <c r="L12" s="47" t="s">
        <v>26</v>
      </c>
      <c r="M12" s="47"/>
      <c r="N12" s="47"/>
      <c r="O12" s="47"/>
    </row>
    <row r="13" spans="1:18" ht="30" customHeight="1" x14ac:dyDescent="0.2">
      <c r="D13" s="9" t="s">
        <v>27</v>
      </c>
      <c r="E13" s="42">
        <v>514703</v>
      </c>
      <c r="F13" s="42">
        <v>563758</v>
      </c>
      <c r="G13" s="42">
        <v>890580</v>
      </c>
      <c r="L13" s="9" t="s">
        <v>44</v>
      </c>
      <c r="M13" s="42">
        <v>498224</v>
      </c>
      <c r="N13" s="42">
        <v>890572</v>
      </c>
      <c r="O13" s="42">
        <v>719183</v>
      </c>
    </row>
    <row r="14" spans="1:18" ht="30" customHeight="1" x14ac:dyDescent="0.2">
      <c r="D14" s="9" t="s">
        <v>28</v>
      </c>
      <c r="E14" s="42">
        <v>357116</v>
      </c>
      <c r="F14" s="42">
        <v>385019</v>
      </c>
      <c r="G14" s="42">
        <v>388669</v>
      </c>
      <c r="L14" s="9" t="s">
        <v>45</v>
      </c>
      <c r="M14" s="42">
        <v>272290</v>
      </c>
      <c r="N14" s="42">
        <v>272913</v>
      </c>
      <c r="O14" s="42">
        <v>281776</v>
      </c>
    </row>
    <row r="15" spans="1:18" ht="30" customHeight="1" x14ac:dyDescent="0.2">
      <c r="D15" s="9" t="s">
        <v>29</v>
      </c>
      <c r="E15" s="42">
        <v>100741</v>
      </c>
      <c r="F15" s="42">
        <v>100621</v>
      </c>
      <c r="G15" s="42">
        <v>100640</v>
      </c>
      <c r="L15" s="9" t="s">
        <v>46</v>
      </c>
      <c r="M15" s="42">
        <v>5</v>
      </c>
      <c r="N15" s="42">
        <v>5</v>
      </c>
      <c r="O15" s="42">
        <v>5</v>
      </c>
    </row>
    <row r="16" spans="1:18" ht="30" customHeight="1" x14ac:dyDescent="0.2">
      <c r="D16" s="9" t="s">
        <v>30</v>
      </c>
      <c r="E16" s="42">
        <v>234657</v>
      </c>
      <c r="F16" s="42">
        <v>262867</v>
      </c>
      <c r="G16" s="42">
        <v>266218</v>
      </c>
      <c r="L16" s="9" t="s">
        <v>47</v>
      </c>
      <c r="M16" s="42">
        <v>159841</v>
      </c>
      <c r="N16" s="42">
        <v>180544</v>
      </c>
      <c r="O16" s="42">
        <v>185422</v>
      </c>
    </row>
    <row r="17" spans="4:15" ht="30" customHeight="1" x14ac:dyDescent="0.2">
      <c r="D17" s="9" t="s">
        <v>31</v>
      </c>
      <c r="E17" s="42">
        <v>54299</v>
      </c>
      <c r="F17" s="42">
        <v>55424</v>
      </c>
      <c r="G17" s="42">
        <v>55233</v>
      </c>
      <c r="L17" s="9" t="s">
        <v>48</v>
      </c>
      <c r="M17" s="42">
        <v>8197</v>
      </c>
      <c r="N17" s="42">
        <v>8197</v>
      </c>
      <c r="O17" s="42">
        <v>8197</v>
      </c>
    </row>
    <row r="18" spans="4:15" ht="30" customHeight="1" x14ac:dyDescent="0.2">
      <c r="D18" s="9" t="s">
        <v>32</v>
      </c>
      <c r="E18" s="42">
        <v>40982</v>
      </c>
      <c r="F18" s="42">
        <v>41608</v>
      </c>
      <c r="G18" s="42">
        <v>41228</v>
      </c>
    </row>
    <row r="19" spans="4:15" ht="30" customHeight="1" x14ac:dyDescent="0.2">
      <c r="D19" s="9" t="s">
        <v>36</v>
      </c>
      <c r="E19" s="42">
        <v>8366</v>
      </c>
      <c r="F19" s="42">
        <v>8366</v>
      </c>
      <c r="G19" s="42">
        <v>8366</v>
      </c>
    </row>
    <row r="20" spans="4:15" ht="30" customHeight="1" x14ac:dyDescent="0.2">
      <c r="D20" s="9" t="s">
        <v>37</v>
      </c>
      <c r="E20" s="42">
        <v>8197</v>
      </c>
      <c r="F20" s="42">
        <v>8197</v>
      </c>
      <c r="G20" s="42">
        <v>8197</v>
      </c>
    </row>
    <row r="21" spans="4:15" ht="30" customHeight="1" x14ac:dyDescent="0.2"/>
    <row r="22" spans="4:15" ht="30" customHeight="1" x14ac:dyDescent="0.2"/>
    <row r="23" spans="4:15" ht="30" customHeight="1" x14ac:dyDescent="0.2"/>
    <row r="24" spans="4:15" ht="30" customHeight="1" x14ac:dyDescent="0.2"/>
    <row r="25" spans="4:15" ht="30" customHeight="1" x14ac:dyDescent="0.2"/>
    <row r="26" spans="4:15" ht="30" customHeight="1" x14ac:dyDescent="0.2"/>
  </sheetData>
  <mergeCells count="14">
    <mergeCell ref="A1:O1"/>
    <mergeCell ref="A10:D10"/>
    <mergeCell ref="D12:G12"/>
    <mergeCell ref="C6:C8"/>
    <mergeCell ref="B5:B8"/>
    <mergeCell ref="A4:A8"/>
    <mergeCell ref="A9:D9"/>
    <mergeCell ref="I9:L9"/>
    <mergeCell ref="A3:C3"/>
    <mergeCell ref="I3:K3"/>
    <mergeCell ref="I4:I8"/>
    <mergeCell ref="J5:J8"/>
    <mergeCell ref="K6:K8"/>
    <mergeCell ref="L12:O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8746-EF65-B94D-A3A6-D9F854046565}">
  <dimension ref="A1:U24"/>
  <sheetViews>
    <sheetView workbookViewId="0">
      <selection activeCell="W9" sqref="W9"/>
    </sheetView>
  </sheetViews>
  <sheetFormatPr baseColWidth="10" defaultRowHeight="19" x14ac:dyDescent="0.2"/>
  <cols>
    <col min="1" max="4" width="3.83203125" style="9" customWidth="1"/>
    <col min="5" max="10" width="20.83203125" style="9" customWidth="1"/>
    <col min="11" max="13" width="3.83203125" style="9" customWidth="1"/>
    <col min="14" max="19" width="20.83203125" style="9" customWidth="1"/>
    <col min="20" max="16384" width="10.83203125" style="9"/>
  </cols>
  <sheetData>
    <row r="1" spans="1:21" ht="30" customHeight="1" x14ac:dyDescent="0.2">
      <c r="A1" s="46" t="s">
        <v>53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</row>
    <row r="2" spans="1:21" ht="20" thickBot="1" x14ac:dyDescent="0.25"/>
    <row r="3" spans="1:21" ht="30" customHeight="1" x14ac:dyDescent="0.2">
      <c r="A3" s="48" t="s">
        <v>42</v>
      </c>
      <c r="B3" s="49"/>
      <c r="C3" s="49"/>
      <c r="D3" s="49"/>
      <c r="E3" s="45"/>
      <c r="F3" s="35" t="s">
        <v>34</v>
      </c>
      <c r="G3" s="35" t="s">
        <v>33</v>
      </c>
      <c r="H3" s="35" t="s">
        <v>35</v>
      </c>
      <c r="I3" s="36" t="s">
        <v>41</v>
      </c>
      <c r="K3" s="48" t="s">
        <v>52</v>
      </c>
      <c r="L3" s="49"/>
      <c r="M3" s="49"/>
      <c r="N3" s="45"/>
      <c r="O3" s="35" t="s">
        <v>34</v>
      </c>
      <c r="P3" s="35" t="s">
        <v>33</v>
      </c>
      <c r="Q3" s="35" t="s">
        <v>35</v>
      </c>
      <c r="R3" s="36" t="s">
        <v>41</v>
      </c>
    </row>
    <row r="4" spans="1:21" ht="30" customHeight="1" x14ac:dyDescent="0.2">
      <c r="A4" s="44"/>
      <c r="B4" s="19"/>
      <c r="C4" s="19"/>
      <c r="D4" s="19"/>
      <c r="E4" s="20" t="s">
        <v>20</v>
      </c>
      <c r="F4" s="18">
        <f>(F13-F14)/1000</f>
        <v>188.505</v>
      </c>
      <c r="G4" s="15">
        <f t="shared" ref="G4:H4" si="0">(G13-G14)/1000</f>
        <v>1539.193</v>
      </c>
      <c r="H4" s="15">
        <f t="shared" si="0"/>
        <v>4316.2619999999997</v>
      </c>
      <c r="I4" s="24">
        <f t="shared" ref="I4" si="1">(I13-I14)/1000</f>
        <v>4995.7139999999999</v>
      </c>
      <c r="K4" s="56" t="s">
        <v>40</v>
      </c>
      <c r="L4" s="19"/>
      <c r="M4" s="19"/>
      <c r="N4" s="20" t="s">
        <v>20</v>
      </c>
      <c r="O4" s="18">
        <f>(O11-O12)/1000</f>
        <v>258.56799999999998</v>
      </c>
      <c r="P4" s="18">
        <f t="shared" ref="P4:R4" si="2">(P11-P12)/1000</f>
        <v>4559.6779999999999</v>
      </c>
      <c r="Q4" s="18">
        <f t="shared" si="2"/>
        <v>8795.9699999999993</v>
      </c>
      <c r="R4" s="18">
        <f t="shared" si="2"/>
        <v>11407.457</v>
      </c>
    </row>
    <row r="5" spans="1:21" ht="30" customHeight="1" x14ac:dyDescent="0.2">
      <c r="A5" s="57" t="s">
        <v>40</v>
      </c>
      <c r="B5" s="21"/>
      <c r="C5" s="22"/>
      <c r="D5" s="22"/>
      <c r="E5" s="23" t="s">
        <v>21</v>
      </c>
      <c r="F5" s="14">
        <f>(F14-F15-F16)/1000</f>
        <v>18.111000000000001</v>
      </c>
      <c r="G5" s="14">
        <f t="shared" ref="G5:H5" si="3">(G14-G15-G16)/1000</f>
        <v>17.454999999999998</v>
      </c>
      <c r="H5" s="14">
        <f t="shared" si="3"/>
        <v>17.045000000000002</v>
      </c>
      <c r="I5" s="25">
        <f t="shared" ref="I5" si="4">(I14-I15-I16)/1000</f>
        <v>16.754999999999999</v>
      </c>
      <c r="K5" s="57"/>
      <c r="L5" s="53" t="s">
        <v>39</v>
      </c>
      <c r="M5" s="22"/>
      <c r="N5" s="23" t="s">
        <v>21</v>
      </c>
      <c r="O5" s="14">
        <f>(O12-O13-O14)/1000</f>
        <v>71.915999999999997</v>
      </c>
      <c r="P5" s="14">
        <f t="shared" ref="P5:R5" si="5">(P12-P13-P14)/1000</f>
        <v>90.081999999999994</v>
      </c>
      <c r="Q5" s="14">
        <f t="shared" si="5"/>
        <v>82.808000000000007</v>
      </c>
      <c r="R5" s="14">
        <f t="shared" si="5"/>
        <v>78.724000000000004</v>
      </c>
    </row>
    <row r="6" spans="1:21" ht="30" customHeight="1" x14ac:dyDescent="0.2">
      <c r="A6" s="57"/>
      <c r="B6" s="59" t="s">
        <v>39</v>
      </c>
      <c r="C6" s="50" t="s">
        <v>38</v>
      </c>
      <c r="D6" s="43"/>
      <c r="E6" s="33" t="s">
        <v>22</v>
      </c>
      <c r="F6" s="13">
        <f>F15/1000</f>
        <v>100.922</v>
      </c>
      <c r="G6" s="13">
        <f t="shared" ref="G6:H6" si="6">G15/1000</f>
        <v>103.88</v>
      </c>
      <c r="H6" s="13">
        <f t="shared" si="6"/>
        <v>103.629</v>
      </c>
      <c r="I6" s="26">
        <f t="shared" ref="I6" si="7">I15/1000</f>
        <v>103.709</v>
      </c>
      <c r="K6" s="57"/>
      <c r="L6" s="54"/>
      <c r="M6" s="50" t="s">
        <v>38</v>
      </c>
      <c r="N6" s="33" t="s">
        <v>49</v>
      </c>
      <c r="O6" s="13">
        <f>O13/1000</f>
        <v>3.0000000000000001E-3</v>
      </c>
      <c r="P6" s="13">
        <f t="shared" ref="P6:R6" si="8">P13/1000</f>
        <v>2E-3</v>
      </c>
      <c r="Q6" s="13">
        <f t="shared" si="8"/>
        <v>2E-3</v>
      </c>
      <c r="R6" s="13">
        <f t="shared" si="8"/>
        <v>3.0000000000000001E-3</v>
      </c>
    </row>
    <row r="7" spans="1:21" ht="30" customHeight="1" x14ac:dyDescent="0.2">
      <c r="A7" s="57"/>
      <c r="B7" s="59"/>
      <c r="C7" s="51"/>
      <c r="D7" s="37"/>
      <c r="E7" s="32" t="s">
        <v>23</v>
      </c>
      <c r="F7" s="10">
        <f>(F16-F17)/1000</f>
        <v>151.18</v>
      </c>
      <c r="G7" s="10">
        <f t="shared" ref="G7:H7" si="9">(G16-G17)/1000</f>
        <v>161.465</v>
      </c>
      <c r="H7" s="10">
        <f t="shared" si="9"/>
        <v>172.553</v>
      </c>
      <c r="I7" s="27">
        <f t="shared" ref="I7" si="10">(I16-I17)/1000</f>
        <v>174.63900000000001</v>
      </c>
      <c r="K7" s="57"/>
      <c r="L7" s="54"/>
      <c r="M7" s="51"/>
      <c r="N7" s="32" t="s">
        <v>50</v>
      </c>
      <c r="O7" s="10">
        <f>O14/1000</f>
        <v>132.22800000000001</v>
      </c>
      <c r="P7" s="10">
        <f t="shared" ref="P7:R7" si="11">P14/1000</f>
        <v>483.22199999999998</v>
      </c>
      <c r="Q7" s="10">
        <f t="shared" si="11"/>
        <v>832.16600000000005</v>
      </c>
      <c r="R7" s="10">
        <f t="shared" si="11"/>
        <v>1144.797</v>
      </c>
    </row>
    <row r="8" spans="1:21" ht="30" customHeight="1" thickBot="1" x14ac:dyDescent="0.25">
      <c r="A8" s="57"/>
      <c r="B8" s="59"/>
      <c r="C8" s="51"/>
      <c r="D8" s="38"/>
      <c r="E8" s="16" t="s">
        <v>24</v>
      </c>
      <c r="F8" s="17">
        <f>(F17-F18)/1000</f>
        <v>5.5709999999999997</v>
      </c>
      <c r="G8" s="17">
        <f t="shared" ref="G8:H8" si="12">(G17-G18)/1000</f>
        <v>62.759</v>
      </c>
      <c r="H8" s="17">
        <f t="shared" si="12"/>
        <v>131.67699999999999</v>
      </c>
      <c r="I8" s="28">
        <f t="shared" ref="I8" si="13">(I17-I18)/1000</f>
        <v>149.59100000000001</v>
      </c>
      <c r="K8" s="58"/>
      <c r="L8" s="55"/>
      <c r="M8" s="52"/>
      <c r="N8" s="34" t="s">
        <v>51</v>
      </c>
      <c r="O8" s="30">
        <f>O7/O15</f>
        <v>1.6050983248361253E-2</v>
      </c>
      <c r="P8" s="30">
        <f>P7/P15</f>
        <v>1.7756832137227018E-3</v>
      </c>
      <c r="Q8" s="30">
        <f>Q7/Q15</f>
        <v>1.5575553505017062E-3</v>
      </c>
      <c r="R8" s="30">
        <f>R7/R15</f>
        <v>1.4373782092490658E-3</v>
      </c>
    </row>
    <row r="9" spans="1:21" ht="30" customHeight="1" x14ac:dyDescent="0.2">
      <c r="A9" s="57"/>
      <c r="B9" s="59"/>
      <c r="C9" s="51"/>
      <c r="D9" s="39"/>
      <c r="E9" s="11" t="s">
        <v>25</v>
      </c>
      <c r="F9" s="12">
        <f>F18/1000</f>
        <v>19.068999999999999</v>
      </c>
      <c r="G9" s="12">
        <f t="shared" ref="G9:H9" si="14">G18/1000</f>
        <v>626.89499999999998</v>
      </c>
      <c r="H9" s="12">
        <f t="shared" si="14"/>
        <v>1238.579</v>
      </c>
      <c r="I9" s="29">
        <f t="shared" ref="I9" si="15">I18/1000</f>
        <v>1819.8589999999999</v>
      </c>
    </row>
    <row r="10" spans="1:21" ht="30" customHeight="1" thickBot="1" x14ac:dyDescent="0.25">
      <c r="A10" s="58"/>
      <c r="B10" s="60"/>
      <c r="C10" s="52"/>
      <c r="D10" s="40"/>
      <c r="E10" s="34" t="s">
        <v>43</v>
      </c>
      <c r="F10" s="30">
        <f>F9/F20</f>
        <v>2.3147608642874484E-3</v>
      </c>
      <c r="G10" s="30">
        <f t="shared" ref="G10:I10" si="16">G9/G20</f>
        <v>2.303634619836624E-3</v>
      </c>
      <c r="H10" s="30">
        <f t="shared" si="16"/>
        <v>2.318233800070001E-3</v>
      </c>
      <c r="I10" s="31">
        <f t="shared" si="16"/>
        <v>2.2849690124151232E-3</v>
      </c>
      <c r="N10" s="47" t="s">
        <v>26</v>
      </c>
      <c r="O10" s="47"/>
      <c r="P10" s="47"/>
      <c r="Q10" s="47"/>
      <c r="R10" s="47"/>
    </row>
    <row r="11" spans="1:21" ht="30" customHeight="1" x14ac:dyDescent="0.2">
      <c r="I11" s="41"/>
      <c r="N11" s="9" t="s">
        <v>44</v>
      </c>
      <c r="O11" s="42">
        <v>462715</v>
      </c>
      <c r="P11" s="42">
        <v>5132984</v>
      </c>
      <c r="Q11" s="42">
        <v>9710946</v>
      </c>
      <c r="R11" s="42">
        <v>12630981</v>
      </c>
    </row>
    <row r="12" spans="1:21" ht="30" customHeight="1" x14ac:dyDescent="0.2">
      <c r="E12" s="47" t="s">
        <v>26</v>
      </c>
      <c r="F12" s="47"/>
      <c r="G12" s="47"/>
      <c r="H12" s="47"/>
      <c r="I12" s="47"/>
      <c r="N12" s="9" t="s">
        <v>45</v>
      </c>
      <c r="O12" s="42">
        <v>204147</v>
      </c>
      <c r="P12" s="42">
        <v>573306</v>
      </c>
      <c r="Q12" s="42">
        <v>914976</v>
      </c>
      <c r="R12" s="42">
        <v>1223524</v>
      </c>
    </row>
    <row r="13" spans="1:21" ht="30" customHeight="1" x14ac:dyDescent="0.2">
      <c r="E13" s="9" t="s">
        <v>27</v>
      </c>
      <c r="F13" s="42">
        <v>483358</v>
      </c>
      <c r="G13" s="42">
        <v>2511647</v>
      </c>
      <c r="H13" s="42">
        <v>5979745</v>
      </c>
      <c r="I13" s="42">
        <v>7260267</v>
      </c>
      <c r="N13" s="9" t="s">
        <v>46</v>
      </c>
      <c r="O13" s="42">
        <v>3</v>
      </c>
      <c r="P13" s="42">
        <v>2</v>
      </c>
      <c r="Q13" s="42">
        <v>2</v>
      </c>
      <c r="R13" s="42">
        <v>3</v>
      </c>
    </row>
    <row r="14" spans="1:21" ht="30" customHeight="1" x14ac:dyDescent="0.2">
      <c r="E14" s="9" t="s">
        <v>28</v>
      </c>
      <c r="F14" s="42">
        <v>294853</v>
      </c>
      <c r="G14" s="42">
        <v>972454</v>
      </c>
      <c r="H14" s="42">
        <v>1663483</v>
      </c>
      <c r="I14" s="42">
        <v>2264553</v>
      </c>
      <c r="N14" s="9" t="s">
        <v>47</v>
      </c>
      <c r="O14" s="42">
        <v>132228</v>
      </c>
      <c r="P14" s="42">
        <v>483222</v>
      </c>
      <c r="Q14" s="42">
        <v>832166</v>
      </c>
      <c r="R14" s="42">
        <v>1144797</v>
      </c>
    </row>
    <row r="15" spans="1:21" ht="30" customHeight="1" x14ac:dyDescent="0.2">
      <c r="E15" s="9" t="s">
        <v>29</v>
      </c>
      <c r="F15" s="42">
        <v>100922</v>
      </c>
      <c r="G15" s="42">
        <v>103880</v>
      </c>
      <c r="H15" s="42">
        <v>103629</v>
      </c>
      <c r="I15" s="42">
        <v>103709</v>
      </c>
      <c r="N15" s="9" t="s">
        <v>48</v>
      </c>
      <c r="O15" s="42">
        <v>8238</v>
      </c>
      <c r="P15" s="42">
        <v>272133</v>
      </c>
      <c r="Q15" s="42">
        <v>534277</v>
      </c>
      <c r="R15" s="42">
        <v>796448</v>
      </c>
    </row>
    <row r="16" spans="1:21" ht="30" customHeight="1" x14ac:dyDescent="0.2">
      <c r="E16" s="9" t="s">
        <v>30</v>
      </c>
      <c r="F16" s="42">
        <v>175820</v>
      </c>
      <c r="G16" s="42">
        <v>851119</v>
      </c>
      <c r="H16" s="42">
        <v>1542809</v>
      </c>
      <c r="I16" s="42">
        <v>2144089</v>
      </c>
    </row>
    <row r="17" spans="5:9" ht="30" customHeight="1" x14ac:dyDescent="0.2">
      <c r="E17" s="9" t="s">
        <v>31</v>
      </c>
      <c r="F17" s="42">
        <v>24640</v>
      </c>
      <c r="G17" s="42">
        <v>689654</v>
      </c>
      <c r="H17" s="42">
        <v>1370256</v>
      </c>
      <c r="I17" s="42">
        <v>1969450</v>
      </c>
    </row>
    <row r="18" spans="5:9" ht="30" customHeight="1" x14ac:dyDescent="0.2">
      <c r="E18" s="9" t="s">
        <v>32</v>
      </c>
      <c r="F18" s="42">
        <v>19069</v>
      </c>
      <c r="G18" s="42">
        <v>626895</v>
      </c>
      <c r="H18" s="42">
        <v>1238579</v>
      </c>
      <c r="I18" s="42">
        <v>1819859</v>
      </c>
    </row>
    <row r="19" spans="5:9" ht="30" customHeight="1" x14ac:dyDescent="0.2">
      <c r="E19" s="9" t="s">
        <v>36</v>
      </c>
      <c r="F19" s="42">
        <v>8413</v>
      </c>
      <c r="G19" s="42">
        <v>272463</v>
      </c>
      <c r="H19" s="42">
        <v>534609</v>
      </c>
      <c r="I19" s="42">
        <v>796781</v>
      </c>
    </row>
    <row r="20" spans="5:9" ht="30" customHeight="1" x14ac:dyDescent="0.2">
      <c r="E20" s="9" t="s">
        <v>37</v>
      </c>
      <c r="F20" s="42">
        <v>8238</v>
      </c>
      <c r="G20" s="42">
        <v>272133</v>
      </c>
      <c r="H20" s="42">
        <v>534277</v>
      </c>
      <c r="I20" s="42">
        <v>796448</v>
      </c>
    </row>
    <row r="21" spans="5:9" ht="30" customHeight="1" x14ac:dyDescent="0.2"/>
    <row r="22" spans="5:9" ht="30" customHeight="1" x14ac:dyDescent="0.2"/>
    <row r="23" spans="5:9" ht="30" customHeight="1" x14ac:dyDescent="0.2"/>
    <row r="24" spans="5:9" ht="30" customHeight="1" x14ac:dyDescent="0.2"/>
  </sheetData>
  <mergeCells count="11">
    <mergeCell ref="E12:I12"/>
    <mergeCell ref="A3:D3"/>
    <mergeCell ref="A1:U1"/>
    <mergeCell ref="N10:R10"/>
    <mergeCell ref="K3:M3"/>
    <mergeCell ref="M6:M8"/>
    <mergeCell ref="L5:L8"/>
    <mergeCell ref="K4:K8"/>
    <mergeCell ref="C6:C10"/>
    <mergeCell ref="B6:B10"/>
    <mergeCell ref="A5:A10"/>
  </mergeCells>
  <phoneticPr fontId="3" type="noConversion"/>
  <pageMargins left="0.7" right="0.7" top="0.75" bottom="0.75" header="0.3" footer="0.3"/>
  <ignoredErrors>
    <ignoredError sqref="F6" formula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E695-0A37-4944-9262-B53A47FF3098}">
  <dimension ref="A1:L10"/>
  <sheetViews>
    <sheetView workbookViewId="0">
      <selection activeCell="E8" sqref="E8"/>
    </sheetView>
  </sheetViews>
  <sheetFormatPr baseColWidth="10" defaultRowHeight="16" x14ac:dyDescent="0.2"/>
  <cols>
    <col min="1" max="8" width="20.83203125" customWidth="1"/>
    <col min="9" max="10" width="10.83203125" customWidth="1"/>
    <col min="11" max="12" width="11.1640625" bestFit="1" customWidth="1"/>
  </cols>
  <sheetData>
    <row r="1" spans="1:12" ht="30" customHeight="1" x14ac:dyDescent="0.2">
      <c r="A1" s="5" t="s">
        <v>7</v>
      </c>
      <c r="B1" s="8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s="3" t="s">
        <v>6</v>
      </c>
      <c r="I1" s="61" t="s">
        <v>19</v>
      </c>
      <c r="J1" s="61"/>
      <c r="K1" s="61"/>
      <c r="L1" s="61"/>
    </row>
    <row r="2" spans="1:12" ht="30" customHeight="1" x14ac:dyDescent="0.2">
      <c r="A2" s="6">
        <v>0</v>
      </c>
      <c r="B2" s="7">
        <f t="shared" ref="B2:B8" si="0">H2/1024</f>
        <v>40.919921875</v>
      </c>
      <c r="C2" s="1">
        <v>513.08699999999999</v>
      </c>
      <c r="D2" s="1">
        <v>523.06600000000003</v>
      </c>
      <c r="E2" s="1">
        <v>1134.402</v>
      </c>
      <c r="F2" s="1">
        <v>5.4989999999999997</v>
      </c>
      <c r="G2" s="1">
        <v>6.9550000000000001</v>
      </c>
      <c r="H2" s="4">
        <f>AVERAGE(I2:L2)</f>
        <v>41902</v>
      </c>
      <c r="I2" s="2">
        <v>46360</v>
      </c>
      <c r="J2" s="2">
        <v>46360</v>
      </c>
      <c r="K2" s="2">
        <v>37432</v>
      </c>
      <c r="L2" s="2">
        <v>37456</v>
      </c>
    </row>
    <row r="3" spans="1:12" ht="30" customHeight="1" x14ac:dyDescent="0.2">
      <c r="A3" s="6">
        <v>64</v>
      </c>
      <c r="B3" s="7">
        <f t="shared" si="0"/>
        <v>114.7509765625</v>
      </c>
      <c r="C3" s="1">
        <v>733.81700000000001</v>
      </c>
      <c r="D3" s="1">
        <v>1025.3240000000001</v>
      </c>
      <c r="E3" s="1">
        <v>1631.5730000000001</v>
      </c>
      <c r="F3" s="1">
        <v>5.7539999999999996</v>
      </c>
      <c r="G3" s="1">
        <v>8.2739999999999991</v>
      </c>
      <c r="H3" s="4">
        <f t="shared" ref="H3:H8" si="1">AVERAGE(I3:L3)</f>
        <v>117505</v>
      </c>
      <c r="I3" s="2">
        <v>125092</v>
      </c>
      <c r="J3" s="2">
        <v>125540</v>
      </c>
      <c r="K3" s="2">
        <v>109272</v>
      </c>
      <c r="L3" s="2">
        <v>110116</v>
      </c>
    </row>
    <row r="4" spans="1:12" ht="30" customHeight="1" x14ac:dyDescent="0.2">
      <c r="A4" s="6">
        <v>128</v>
      </c>
      <c r="B4" s="7">
        <f t="shared" si="0"/>
        <v>174.9248046875</v>
      </c>
      <c r="C4" s="1">
        <v>907.32100000000003</v>
      </c>
      <c r="D4" s="1">
        <v>1391.095</v>
      </c>
      <c r="E4" s="1">
        <v>2040.479</v>
      </c>
      <c r="F4" s="1">
        <v>5.101</v>
      </c>
      <c r="G4" s="1">
        <v>8.3260000000000005</v>
      </c>
      <c r="H4" s="4">
        <f t="shared" si="1"/>
        <v>179123</v>
      </c>
      <c r="I4" s="2">
        <v>191052</v>
      </c>
      <c r="J4" s="2">
        <v>175464</v>
      </c>
      <c r="K4" s="2">
        <v>174568</v>
      </c>
      <c r="L4" s="2">
        <v>175408</v>
      </c>
    </row>
    <row r="5" spans="1:12" ht="30" customHeight="1" x14ac:dyDescent="0.2">
      <c r="A5" s="6">
        <v>256</v>
      </c>
      <c r="B5" s="7">
        <f t="shared" si="0"/>
        <v>306.873046875</v>
      </c>
      <c r="C5" s="1">
        <v>1260.5640000000001</v>
      </c>
      <c r="D5" s="1">
        <v>2107.569</v>
      </c>
      <c r="E5" s="1">
        <v>2715.9830000000002</v>
      </c>
      <c r="F5" s="1">
        <v>5.4210000000000003</v>
      </c>
      <c r="G5" s="1">
        <v>8.3030000000000008</v>
      </c>
      <c r="H5" s="4">
        <f t="shared" si="1"/>
        <v>314238</v>
      </c>
      <c r="I5" s="2">
        <v>322008</v>
      </c>
      <c r="J5" s="2">
        <v>322008</v>
      </c>
      <c r="K5" s="2">
        <v>306724</v>
      </c>
      <c r="L5" s="2">
        <v>306212</v>
      </c>
    </row>
    <row r="6" spans="1:12" ht="30" customHeight="1" x14ac:dyDescent="0.2">
      <c r="A6" s="6">
        <v>512</v>
      </c>
      <c r="B6" s="7">
        <f t="shared" si="0"/>
        <v>562.923828125</v>
      </c>
      <c r="C6" s="1">
        <v>1731.1210000000001</v>
      </c>
      <c r="D6" s="1">
        <v>3556.857</v>
      </c>
      <c r="E6" s="1">
        <v>4211.8890000000001</v>
      </c>
      <c r="F6" s="1">
        <v>5.8689999999999998</v>
      </c>
      <c r="G6" s="1">
        <v>8.3350000000000009</v>
      </c>
      <c r="H6" s="4">
        <f t="shared" si="1"/>
        <v>576434</v>
      </c>
      <c r="I6" s="2">
        <v>583388</v>
      </c>
      <c r="J6" s="2">
        <v>583836</v>
      </c>
      <c r="K6" s="2">
        <v>569256</v>
      </c>
      <c r="L6" s="2">
        <v>569256</v>
      </c>
    </row>
    <row r="7" spans="1:12" ht="30" customHeight="1" x14ac:dyDescent="0.2">
      <c r="A7" s="6">
        <v>1024</v>
      </c>
      <c r="B7" s="7">
        <f t="shared" si="0"/>
        <v>1074.92578125</v>
      </c>
      <c r="C7" s="1">
        <v>2897.3240000000001</v>
      </c>
      <c r="D7" s="1">
        <v>6491.76</v>
      </c>
      <c r="E7" s="1">
        <v>7143.8739999999998</v>
      </c>
      <c r="F7" s="1">
        <v>5.04</v>
      </c>
      <c r="G7" s="1">
        <v>8.4320000000000004</v>
      </c>
      <c r="H7" s="4">
        <f t="shared" si="1"/>
        <v>1100724</v>
      </c>
      <c r="I7" s="2">
        <v>1108440</v>
      </c>
      <c r="J7" s="2">
        <v>1108440</v>
      </c>
      <c r="K7" s="2">
        <v>1092968</v>
      </c>
      <c r="L7" s="2">
        <v>1093048</v>
      </c>
    </row>
    <row r="8" spans="1:12" ht="30" customHeight="1" x14ac:dyDescent="0.2">
      <c r="A8" s="6">
        <v>2048</v>
      </c>
      <c r="B8" s="7">
        <f t="shared" si="0"/>
        <v>2095.08203125</v>
      </c>
      <c r="C8" s="1">
        <v>4972.2730000000001</v>
      </c>
      <c r="D8" s="1">
        <v>12213.09</v>
      </c>
      <c r="E8" s="1">
        <v>12852.317999999999</v>
      </c>
      <c r="F8" s="1">
        <v>5.92</v>
      </c>
      <c r="G8" s="1">
        <v>8.5280000000000005</v>
      </c>
      <c r="H8" s="4">
        <f t="shared" si="1"/>
        <v>2145364</v>
      </c>
      <c r="I8" s="2">
        <v>2156704</v>
      </c>
      <c r="J8" s="2">
        <v>2141288</v>
      </c>
      <c r="K8" s="2">
        <v>2141728</v>
      </c>
      <c r="L8" s="2">
        <v>2141736</v>
      </c>
    </row>
    <row r="9" spans="1:12" ht="30" customHeight="1" x14ac:dyDescent="0.2">
      <c r="A9" s="2"/>
      <c r="B9" s="2"/>
      <c r="C9" s="1"/>
      <c r="D9" s="1"/>
      <c r="H9" s="2"/>
    </row>
    <row r="10" spans="1:12" ht="30" customHeight="1" x14ac:dyDescent="0.2">
      <c r="A10" s="2"/>
      <c r="B10" s="2"/>
      <c r="C10" s="1"/>
      <c r="D10" s="1"/>
      <c r="H10" s="2"/>
    </row>
  </sheetData>
  <mergeCells count="1">
    <mergeCell ref="I1:L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FC72-B432-1B4C-B65F-277D1C452C6D}">
  <dimension ref="A1:L10"/>
  <sheetViews>
    <sheetView workbookViewId="0">
      <selection activeCell="Y7" sqref="Y7"/>
    </sheetView>
  </sheetViews>
  <sheetFormatPr baseColWidth="10" defaultRowHeight="16" x14ac:dyDescent="0.2"/>
  <cols>
    <col min="1" max="10" width="20.83203125" customWidth="1"/>
    <col min="12" max="12" width="50.83203125" customWidth="1"/>
  </cols>
  <sheetData>
    <row r="1" spans="1:12" ht="30" customHeight="1" x14ac:dyDescent="0.2">
      <c r="A1" s="5" t="s">
        <v>7</v>
      </c>
      <c r="B1" s="5" t="s">
        <v>9</v>
      </c>
      <c r="C1" t="s">
        <v>8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s="3" t="s">
        <v>5</v>
      </c>
      <c r="J1" s="3" t="s">
        <v>6</v>
      </c>
      <c r="K1" t="s">
        <v>10</v>
      </c>
      <c r="L1" t="s">
        <v>11</v>
      </c>
    </row>
    <row r="2" spans="1:12" ht="30" customHeight="1" x14ac:dyDescent="0.2">
      <c r="A2" s="6">
        <v>0</v>
      </c>
      <c r="B2" s="6">
        <f>I2/1024</f>
        <v>105.7763671875</v>
      </c>
      <c r="C2" s="2">
        <f>J2/1024</f>
        <v>42.765625</v>
      </c>
      <c r="D2" s="1">
        <v>549.63400000000001</v>
      </c>
      <c r="E2" s="1">
        <v>708.18299999999999</v>
      </c>
      <c r="F2" s="1">
        <v>1314.886</v>
      </c>
      <c r="G2" s="1">
        <v>3.427</v>
      </c>
      <c r="H2" s="1">
        <v>6.9390000000000001</v>
      </c>
      <c r="I2" s="4">
        <v>108315</v>
      </c>
      <c r="J2" s="4">
        <v>43792</v>
      </c>
      <c r="K2" s="1">
        <v>-5000</v>
      </c>
      <c r="L2" t="s">
        <v>12</v>
      </c>
    </row>
    <row r="3" spans="1:12" ht="30" customHeight="1" x14ac:dyDescent="0.2">
      <c r="A3" s="6">
        <v>64</v>
      </c>
      <c r="B3" s="6">
        <f t="shared" ref="B3:B8" si="0">I3/1024</f>
        <v>293.4169921875</v>
      </c>
      <c r="C3" s="2">
        <f t="shared" ref="C3:C8" si="1">J3/1024</f>
        <v>115.3974609375</v>
      </c>
      <c r="D3" s="1">
        <v>825.74300000000005</v>
      </c>
      <c r="E3" s="1">
        <v>1040.9069999999999</v>
      </c>
      <c r="F3" s="1">
        <v>1716.652</v>
      </c>
      <c r="G3" s="1">
        <v>3.4849999999999999</v>
      </c>
      <c r="H3" s="1">
        <v>8.26</v>
      </c>
      <c r="I3" s="4">
        <v>300459</v>
      </c>
      <c r="J3" s="4">
        <v>118167</v>
      </c>
      <c r="K3" s="1">
        <v>-50</v>
      </c>
      <c r="L3" t="s">
        <v>13</v>
      </c>
    </row>
    <row r="4" spans="1:12" ht="30" customHeight="1" x14ac:dyDescent="0.2">
      <c r="A4" s="6">
        <v>128</v>
      </c>
      <c r="B4" s="6">
        <f t="shared" si="0"/>
        <v>342.962890625</v>
      </c>
      <c r="C4" s="2">
        <f t="shared" si="1"/>
        <v>182.265625</v>
      </c>
      <c r="D4" s="1">
        <v>1012.967</v>
      </c>
      <c r="E4" s="1">
        <v>1348.711</v>
      </c>
      <c r="F4" s="1">
        <v>1985.335</v>
      </c>
      <c r="G4" s="1">
        <v>3.5630000000000002</v>
      </c>
      <c r="H4" s="1">
        <v>8.2739999999999991</v>
      </c>
      <c r="I4" s="4">
        <v>351194</v>
      </c>
      <c r="J4" s="4">
        <v>186640</v>
      </c>
      <c r="K4" s="1">
        <v>-50</v>
      </c>
      <c r="L4" t="s">
        <v>14</v>
      </c>
    </row>
    <row r="5" spans="1:12" ht="30" customHeight="1" x14ac:dyDescent="0.2">
      <c r="A5" s="6">
        <v>256</v>
      </c>
      <c r="B5" s="6">
        <f t="shared" si="0"/>
        <v>485.4169921875</v>
      </c>
      <c r="C5" s="2">
        <f t="shared" si="1"/>
        <v>304.212890625</v>
      </c>
      <c r="D5" s="1">
        <v>1852.9179999999999</v>
      </c>
      <c r="E5" s="1">
        <v>1846.9259999999999</v>
      </c>
      <c r="F5" s="1">
        <v>2450.377</v>
      </c>
      <c r="G5" s="1">
        <v>3.6739999999999999</v>
      </c>
      <c r="H5" s="1">
        <v>8.3059999999999992</v>
      </c>
      <c r="I5" s="4">
        <v>497067</v>
      </c>
      <c r="J5" s="4">
        <v>311514</v>
      </c>
      <c r="K5" s="1">
        <v>-50</v>
      </c>
      <c r="L5" t="s">
        <v>15</v>
      </c>
    </row>
    <row r="6" spans="1:12" ht="30" customHeight="1" x14ac:dyDescent="0.2">
      <c r="A6" s="6">
        <v>512</v>
      </c>
      <c r="B6" s="6">
        <f t="shared" si="0"/>
        <v>741.4169921875</v>
      </c>
      <c r="C6" s="2">
        <f t="shared" si="1"/>
        <v>560.228515625</v>
      </c>
      <c r="D6" s="1">
        <v>3419.1759999999999</v>
      </c>
      <c r="E6" s="1">
        <v>2844.817</v>
      </c>
      <c r="F6" s="1">
        <v>3648.248</v>
      </c>
      <c r="G6" s="1">
        <v>3.6850000000000001</v>
      </c>
      <c r="H6" s="1">
        <v>8.3460000000000001</v>
      </c>
      <c r="I6" s="4">
        <v>759211</v>
      </c>
      <c r="J6" s="4">
        <v>573674</v>
      </c>
      <c r="K6" s="1">
        <v>-50</v>
      </c>
      <c r="L6" t="s">
        <v>16</v>
      </c>
    </row>
    <row r="7" spans="1:12" ht="30" customHeight="1" x14ac:dyDescent="0.2">
      <c r="A7" s="6">
        <v>1024</v>
      </c>
      <c r="B7" s="6">
        <f t="shared" si="0"/>
        <v>1253.4169921875</v>
      </c>
      <c r="C7" s="2">
        <f t="shared" si="1"/>
        <v>1072.216796875</v>
      </c>
      <c r="D7" s="1">
        <v>7490.2830000000004</v>
      </c>
      <c r="E7" s="1">
        <v>5688.47</v>
      </c>
      <c r="F7" s="1">
        <v>6492.9489999999996</v>
      </c>
      <c r="G7" s="1">
        <v>3.4049999999999998</v>
      </c>
      <c r="H7" s="1">
        <v>8.4499999999999993</v>
      </c>
      <c r="I7" s="4">
        <v>1283499</v>
      </c>
      <c r="J7" s="4">
        <v>1097950</v>
      </c>
      <c r="K7" s="1">
        <v>-50</v>
      </c>
      <c r="L7" t="s">
        <v>17</v>
      </c>
    </row>
    <row r="8" spans="1:12" ht="30" customHeight="1" x14ac:dyDescent="0.2">
      <c r="A8" s="6">
        <v>2048</v>
      </c>
      <c r="B8" s="6">
        <f t="shared" si="0"/>
        <v>2248.509765625</v>
      </c>
      <c r="C8" s="2">
        <f t="shared" si="1"/>
        <v>2098.388671875</v>
      </c>
      <c r="D8" s="1">
        <v>27071.938999999998</v>
      </c>
      <c r="E8" s="1">
        <v>15711.916999999999</v>
      </c>
      <c r="F8" s="1">
        <v>16150.834000000001</v>
      </c>
      <c r="G8" s="1">
        <v>3.9159999999999999</v>
      </c>
      <c r="H8" s="1">
        <v>8.6370000000000005</v>
      </c>
      <c r="I8" s="4">
        <v>2302474</v>
      </c>
      <c r="J8" s="4">
        <v>2148750</v>
      </c>
      <c r="K8" s="1">
        <v>-50</v>
      </c>
      <c r="L8" t="s">
        <v>18</v>
      </c>
    </row>
    <row r="9" spans="1:12" ht="30" customHeight="1" x14ac:dyDescent="0.2">
      <c r="A9" s="2"/>
      <c r="B9" s="2"/>
      <c r="C9" s="2"/>
      <c r="D9" s="1"/>
      <c r="E9" s="1"/>
      <c r="I9" s="2"/>
      <c r="J9" s="2"/>
    </row>
    <row r="10" spans="1:12" ht="30" customHeight="1" x14ac:dyDescent="0.2">
      <c r="A10" s="2"/>
      <c r="B10" s="2"/>
      <c r="C10" s="2"/>
      <c r="D10" s="1"/>
      <c r="E10" s="1"/>
      <c r="I10" s="2"/>
      <c r="J10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vM vF 0Compress</vt:lpstr>
      <vt:lpstr>0M vF 0Compress</vt:lpstr>
      <vt:lpstr>vM 0F 0Compress</vt:lpstr>
      <vt:lpstr>0M 0F vCompress</vt:lpstr>
      <vt:lpstr>PrintStats</vt:lpstr>
      <vt:lpstr>c6620</vt:lpstr>
      <vt:lpstr>brsys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ax2155</dc:creator>
  <cp:lastModifiedBy>ax2155</cp:lastModifiedBy>
  <dcterms:created xsi:type="dcterms:W3CDTF">2025-07-11T19:35:11Z</dcterms:created>
  <dcterms:modified xsi:type="dcterms:W3CDTF">2025-07-19T21:10:12Z</dcterms:modified>
</cp:coreProperties>
</file>